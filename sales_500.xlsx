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shtha\Downloads\"/>
    </mc:Choice>
  </mc:AlternateContent>
  <xr:revisionPtr revIDLastSave="0" documentId="13_ncr:1_{EDF77EFF-57BB-4EAE-949A-3D95FC79FB1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gion sale" sheetId="6" r:id="rId1"/>
    <sheet name="Product Performance" sheetId="8" r:id="rId2"/>
    <sheet name="Sheet10" sheetId="15" r:id="rId3"/>
    <sheet name="Region VS Category" sheetId="9" r:id="rId4"/>
    <sheet name="Discount analysis" sheetId="10" r:id="rId5"/>
    <sheet name="Profit margin analysis " sheetId="11" r:id="rId6"/>
    <sheet name="Sales Rep Performance" sheetId="12" r:id="rId7"/>
    <sheet name="Monthly Sales Trends" sheetId="13" r:id="rId8"/>
    <sheet name="Category Performance" sheetId="14" r:id="rId9"/>
    <sheet name="Sales Transactions" sheetId="1" r:id="rId10"/>
    <sheet name="Summary by Rep" sheetId="2" r:id="rId11"/>
    <sheet name="Summary by Category" sheetId="3" r:id="rId12"/>
    <sheet name="Monthly Trend" sheetId="4" r:id="rId13"/>
  </sheets>
  <calcPr calcId="191029" iterateDelta="1E-4"/>
  <pivotCaches>
    <pivotCache cacheId="4" r:id="rId14"/>
    <pivotCache cacheId="1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45" i="1"/>
  <c r="N205" i="1"/>
  <c r="N267" i="1"/>
  <c r="N422" i="1"/>
  <c r="N423" i="1"/>
  <c r="N427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M423" i="1"/>
  <c r="M424" i="1"/>
  <c r="N424" i="1" s="1"/>
  <c r="M425" i="1"/>
  <c r="N425" i="1" s="1"/>
  <c r="M426" i="1"/>
  <c r="N426" i="1" s="1"/>
  <c r="M427" i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2" i="1"/>
  <c r="N2" i="1" s="1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B5" i="3"/>
  <c r="B4" i="3"/>
  <c r="B3" i="3"/>
  <c r="B2" i="3"/>
  <c r="C11" i="2"/>
  <c r="C10" i="2"/>
  <c r="C9" i="2"/>
  <c r="C8" i="2"/>
  <c r="C7" i="2"/>
  <c r="C6" i="2"/>
  <c r="C5" i="2"/>
  <c r="C4" i="2"/>
  <c r="C3" i="2"/>
  <c r="C2" i="2"/>
  <c r="G502" i="1"/>
  <c r="I501" i="1"/>
  <c r="K501" i="1" s="1"/>
  <c r="P501" i="1" s="1"/>
  <c r="I500" i="1"/>
  <c r="K500" i="1" s="1"/>
  <c r="P500" i="1" s="1"/>
  <c r="I499" i="1"/>
  <c r="K499" i="1" s="1"/>
  <c r="P499" i="1" s="1"/>
  <c r="I498" i="1"/>
  <c r="K498" i="1" s="1"/>
  <c r="P498" i="1" s="1"/>
  <c r="I497" i="1"/>
  <c r="K497" i="1" s="1"/>
  <c r="P497" i="1" s="1"/>
  <c r="I496" i="1"/>
  <c r="K496" i="1" s="1"/>
  <c r="P496" i="1" s="1"/>
  <c r="I495" i="1"/>
  <c r="K495" i="1" s="1"/>
  <c r="P495" i="1" s="1"/>
  <c r="I494" i="1"/>
  <c r="K494" i="1" s="1"/>
  <c r="P494" i="1" s="1"/>
  <c r="I493" i="1"/>
  <c r="K493" i="1" s="1"/>
  <c r="P493" i="1" s="1"/>
  <c r="I492" i="1"/>
  <c r="K492" i="1" s="1"/>
  <c r="P492" i="1" s="1"/>
  <c r="I491" i="1"/>
  <c r="K491" i="1" s="1"/>
  <c r="P491" i="1" s="1"/>
  <c r="I490" i="1"/>
  <c r="K490" i="1" s="1"/>
  <c r="P490" i="1" s="1"/>
  <c r="I489" i="1"/>
  <c r="K489" i="1" s="1"/>
  <c r="P489" i="1" s="1"/>
  <c r="I488" i="1"/>
  <c r="K488" i="1" s="1"/>
  <c r="P488" i="1" s="1"/>
  <c r="I487" i="1"/>
  <c r="K487" i="1" s="1"/>
  <c r="P487" i="1" s="1"/>
  <c r="I486" i="1"/>
  <c r="K486" i="1" s="1"/>
  <c r="P486" i="1" s="1"/>
  <c r="I485" i="1"/>
  <c r="K485" i="1" s="1"/>
  <c r="P485" i="1" s="1"/>
  <c r="I484" i="1"/>
  <c r="K484" i="1" s="1"/>
  <c r="P484" i="1" s="1"/>
  <c r="I483" i="1"/>
  <c r="K483" i="1" s="1"/>
  <c r="P483" i="1" s="1"/>
  <c r="I482" i="1"/>
  <c r="K482" i="1" s="1"/>
  <c r="P482" i="1" s="1"/>
  <c r="I481" i="1"/>
  <c r="K481" i="1" s="1"/>
  <c r="P481" i="1" s="1"/>
  <c r="I480" i="1"/>
  <c r="K480" i="1" s="1"/>
  <c r="P480" i="1" s="1"/>
  <c r="I479" i="1"/>
  <c r="K479" i="1" s="1"/>
  <c r="P479" i="1" s="1"/>
  <c r="I478" i="1"/>
  <c r="K478" i="1" s="1"/>
  <c r="P478" i="1" s="1"/>
  <c r="I477" i="1"/>
  <c r="K477" i="1" s="1"/>
  <c r="P477" i="1" s="1"/>
  <c r="I476" i="1"/>
  <c r="K476" i="1" s="1"/>
  <c r="P476" i="1" s="1"/>
  <c r="I475" i="1"/>
  <c r="K475" i="1" s="1"/>
  <c r="P475" i="1" s="1"/>
  <c r="I474" i="1"/>
  <c r="K474" i="1" s="1"/>
  <c r="P474" i="1" s="1"/>
  <c r="I473" i="1"/>
  <c r="K473" i="1" s="1"/>
  <c r="P473" i="1" s="1"/>
  <c r="I472" i="1"/>
  <c r="K472" i="1" s="1"/>
  <c r="P472" i="1" s="1"/>
  <c r="I471" i="1"/>
  <c r="K471" i="1" s="1"/>
  <c r="P471" i="1" s="1"/>
  <c r="I470" i="1"/>
  <c r="K470" i="1" s="1"/>
  <c r="P470" i="1" s="1"/>
  <c r="I469" i="1"/>
  <c r="K469" i="1" s="1"/>
  <c r="P469" i="1" s="1"/>
  <c r="I468" i="1"/>
  <c r="K468" i="1" s="1"/>
  <c r="P468" i="1" s="1"/>
  <c r="I467" i="1"/>
  <c r="K467" i="1" s="1"/>
  <c r="P467" i="1" s="1"/>
  <c r="I466" i="1"/>
  <c r="K466" i="1" s="1"/>
  <c r="P466" i="1" s="1"/>
  <c r="I465" i="1"/>
  <c r="K465" i="1" s="1"/>
  <c r="P465" i="1" s="1"/>
  <c r="I464" i="1"/>
  <c r="K464" i="1" s="1"/>
  <c r="P464" i="1" s="1"/>
  <c r="I463" i="1"/>
  <c r="K463" i="1" s="1"/>
  <c r="P463" i="1" s="1"/>
  <c r="I462" i="1"/>
  <c r="K462" i="1" s="1"/>
  <c r="P462" i="1" s="1"/>
  <c r="I461" i="1"/>
  <c r="K461" i="1" s="1"/>
  <c r="P461" i="1" s="1"/>
  <c r="I460" i="1"/>
  <c r="K460" i="1" s="1"/>
  <c r="P460" i="1" s="1"/>
  <c r="I459" i="1"/>
  <c r="K459" i="1" s="1"/>
  <c r="P459" i="1" s="1"/>
  <c r="I458" i="1"/>
  <c r="K458" i="1" s="1"/>
  <c r="P458" i="1" s="1"/>
  <c r="I457" i="1"/>
  <c r="K457" i="1" s="1"/>
  <c r="P457" i="1" s="1"/>
  <c r="I456" i="1"/>
  <c r="K456" i="1" s="1"/>
  <c r="P456" i="1" s="1"/>
  <c r="I455" i="1"/>
  <c r="K455" i="1" s="1"/>
  <c r="P455" i="1" s="1"/>
  <c r="I454" i="1"/>
  <c r="K454" i="1" s="1"/>
  <c r="P454" i="1" s="1"/>
  <c r="I453" i="1"/>
  <c r="K453" i="1" s="1"/>
  <c r="P453" i="1" s="1"/>
  <c r="I452" i="1"/>
  <c r="K452" i="1" s="1"/>
  <c r="P452" i="1" s="1"/>
  <c r="I451" i="1"/>
  <c r="K451" i="1" s="1"/>
  <c r="P451" i="1" s="1"/>
  <c r="I450" i="1"/>
  <c r="K450" i="1" s="1"/>
  <c r="P450" i="1" s="1"/>
  <c r="I449" i="1"/>
  <c r="K449" i="1" s="1"/>
  <c r="P449" i="1" s="1"/>
  <c r="I448" i="1"/>
  <c r="K448" i="1" s="1"/>
  <c r="P448" i="1" s="1"/>
  <c r="I447" i="1"/>
  <c r="K447" i="1" s="1"/>
  <c r="P447" i="1" s="1"/>
  <c r="I446" i="1"/>
  <c r="K446" i="1" s="1"/>
  <c r="P446" i="1" s="1"/>
  <c r="I445" i="1"/>
  <c r="K445" i="1" s="1"/>
  <c r="P445" i="1" s="1"/>
  <c r="I444" i="1"/>
  <c r="K444" i="1" s="1"/>
  <c r="P444" i="1" s="1"/>
  <c r="I443" i="1"/>
  <c r="K443" i="1" s="1"/>
  <c r="P443" i="1" s="1"/>
  <c r="I442" i="1"/>
  <c r="K442" i="1" s="1"/>
  <c r="P442" i="1" s="1"/>
  <c r="I441" i="1"/>
  <c r="K441" i="1" s="1"/>
  <c r="P441" i="1" s="1"/>
  <c r="I440" i="1"/>
  <c r="K440" i="1" s="1"/>
  <c r="P440" i="1" s="1"/>
  <c r="I439" i="1"/>
  <c r="K439" i="1" s="1"/>
  <c r="P439" i="1" s="1"/>
  <c r="I438" i="1"/>
  <c r="K438" i="1" s="1"/>
  <c r="P438" i="1" s="1"/>
  <c r="I437" i="1"/>
  <c r="K437" i="1" s="1"/>
  <c r="P437" i="1" s="1"/>
  <c r="I436" i="1"/>
  <c r="K436" i="1" s="1"/>
  <c r="P436" i="1" s="1"/>
  <c r="I435" i="1"/>
  <c r="K435" i="1" s="1"/>
  <c r="P435" i="1" s="1"/>
  <c r="I434" i="1"/>
  <c r="K434" i="1" s="1"/>
  <c r="P434" i="1" s="1"/>
  <c r="I433" i="1"/>
  <c r="K433" i="1" s="1"/>
  <c r="P433" i="1" s="1"/>
  <c r="I432" i="1"/>
  <c r="K432" i="1" s="1"/>
  <c r="P432" i="1" s="1"/>
  <c r="I431" i="1"/>
  <c r="K431" i="1" s="1"/>
  <c r="P431" i="1" s="1"/>
  <c r="I430" i="1"/>
  <c r="K430" i="1" s="1"/>
  <c r="P430" i="1" s="1"/>
  <c r="I429" i="1"/>
  <c r="K429" i="1" s="1"/>
  <c r="P429" i="1" s="1"/>
  <c r="I428" i="1"/>
  <c r="K428" i="1" s="1"/>
  <c r="P428" i="1" s="1"/>
  <c r="I427" i="1"/>
  <c r="K427" i="1" s="1"/>
  <c r="P427" i="1" s="1"/>
  <c r="I426" i="1"/>
  <c r="K426" i="1" s="1"/>
  <c r="P426" i="1" s="1"/>
  <c r="I425" i="1"/>
  <c r="K425" i="1" s="1"/>
  <c r="P425" i="1" s="1"/>
  <c r="I424" i="1"/>
  <c r="K424" i="1" s="1"/>
  <c r="P424" i="1" s="1"/>
  <c r="I423" i="1"/>
  <c r="K423" i="1" s="1"/>
  <c r="P423" i="1" s="1"/>
  <c r="I422" i="1"/>
  <c r="K422" i="1" s="1"/>
  <c r="P422" i="1" s="1"/>
  <c r="I421" i="1"/>
  <c r="K421" i="1" s="1"/>
  <c r="P421" i="1" s="1"/>
  <c r="I420" i="1"/>
  <c r="K420" i="1" s="1"/>
  <c r="P420" i="1" s="1"/>
  <c r="I419" i="1"/>
  <c r="K419" i="1" s="1"/>
  <c r="P419" i="1" s="1"/>
  <c r="I418" i="1"/>
  <c r="K418" i="1" s="1"/>
  <c r="P418" i="1" s="1"/>
  <c r="I417" i="1"/>
  <c r="K417" i="1" s="1"/>
  <c r="P417" i="1" s="1"/>
  <c r="I416" i="1"/>
  <c r="K416" i="1" s="1"/>
  <c r="P416" i="1" s="1"/>
  <c r="I415" i="1"/>
  <c r="K415" i="1" s="1"/>
  <c r="P415" i="1" s="1"/>
  <c r="I414" i="1"/>
  <c r="K414" i="1" s="1"/>
  <c r="P414" i="1" s="1"/>
  <c r="I413" i="1"/>
  <c r="K413" i="1" s="1"/>
  <c r="P413" i="1" s="1"/>
  <c r="I412" i="1"/>
  <c r="K412" i="1" s="1"/>
  <c r="P412" i="1" s="1"/>
  <c r="I411" i="1"/>
  <c r="K411" i="1" s="1"/>
  <c r="P411" i="1" s="1"/>
  <c r="I410" i="1"/>
  <c r="K410" i="1" s="1"/>
  <c r="P410" i="1" s="1"/>
  <c r="I409" i="1"/>
  <c r="K409" i="1" s="1"/>
  <c r="P409" i="1" s="1"/>
  <c r="I408" i="1"/>
  <c r="K408" i="1" s="1"/>
  <c r="P408" i="1" s="1"/>
  <c r="I407" i="1"/>
  <c r="K407" i="1" s="1"/>
  <c r="P407" i="1" s="1"/>
  <c r="I406" i="1"/>
  <c r="K406" i="1" s="1"/>
  <c r="P406" i="1" s="1"/>
  <c r="I405" i="1"/>
  <c r="K405" i="1" s="1"/>
  <c r="P405" i="1" s="1"/>
  <c r="I404" i="1"/>
  <c r="K404" i="1" s="1"/>
  <c r="P404" i="1" s="1"/>
  <c r="I403" i="1"/>
  <c r="K403" i="1" s="1"/>
  <c r="P403" i="1" s="1"/>
  <c r="I402" i="1"/>
  <c r="K402" i="1" s="1"/>
  <c r="P402" i="1" s="1"/>
  <c r="I401" i="1"/>
  <c r="K401" i="1" s="1"/>
  <c r="P401" i="1" s="1"/>
  <c r="I400" i="1"/>
  <c r="K400" i="1" s="1"/>
  <c r="P400" i="1" s="1"/>
  <c r="I399" i="1"/>
  <c r="K399" i="1" s="1"/>
  <c r="P399" i="1" s="1"/>
  <c r="I398" i="1"/>
  <c r="K398" i="1" s="1"/>
  <c r="P398" i="1" s="1"/>
  <c r="I397" i="1"/>
  <c r="K397" i="1" s="1"/>
  <c r="P397" i="1" s="1"/>
  <c r="I396" i="1"/>
  <c r="K396" i="1" s="1"/>
  <c r="P396" i="1" s="1"/>
  <c r="I395" i="1"/>
  <c r="K395" i="1" s="1"/>
  <c r="P395" i="1" s="1"/>
  <c r="I394" i="1"/>
  <c r="K394" i="1" s="1"/>
  <c r="P394" i="1" s="1"/>
  <c r="I393" i="1"/>
  <c r="K393" i="1" s="1"/>
  <c r="P393" i="1" s="1"/>
  <c r="I392" i="1"/>
  <c r="K392" i="1" s="1"/>
  <c r="P392" i="1" s="1"/>
  <c r="I391" i="1"/>
  <c r="K391" i="1" s="1"/>
  <c r="P391" i="1" s="1"/>
  <c r="I390" i="1"/>
  <c r="K390" i="1" s="1"/>
  <c r="P390" i="1" s="1"/>
  <c r="I389" i="1"/>
  <c r="K389" i="1" s="1"/>
  <c r="P389" i="1" s="1"/>
  <c r="I388" i="1"/>
  <c r="K388" i="1" s="1"/>
  <c r="P388" i="1" s="1"/>
  <c r="I387" i="1"/>
  <c r="K387" i="1" s="1"/>
  <c r="P387" i="1" s="1"/>
  <c r="I386" i="1"/>
  <c r="K386" i="1" s="1"/>
  <c r="P386" i="1" s="1"/>
  <c r="I385" i="1"/>
  <c r="K385" i="1" s="1"/>
  <c r="P385" i="1" s="1"/>
  <c r="I384" i="1"/>
  <c r="K384" i="1" s="1"/>
  <c r="P384" i="1" s="1"/>
  <c r="I383" i="1"/>
  <c r="K383" i="1" s="1"/>
  <c r="P383" i="1" s="1"/>
  <c r="I382" i="1"/>
  <c r="K382" i="1" s="1"/>
  <c r="P382" i="1" s="1"/>
  <c r="I381" i="1"/>
  <c r="K381" i="1" s="1"/>
  <c r="P381" i="1" s="1"/>
  <c r="I380" i="1"/>
  <c r="K380" i="1" s="1"/>
  <c r="P380" i="1" s="1"/>
  <c r="I379" i="1"/>
  <c r="K379" i="1" s="1"/>
  <c r="P379" i="1" s="1"/>
  <c r="I378" i="1"/>
  <c r="K378" i="1" s="1"/>
  <c r="P378" i="1" s="1"/>
  <c r="I377" i="1"/>
  <c r="K377" i="1" s="1"/>
  <c r="P377" i="1" s="1"/>
  <c r="I376" i="1"/>
  <c r="K376" i="1" s="1"/>
  <c r="P376" i="1" s="1"/>
  <c r="I375" i="1"/>
  <c r="K375" i="1" s="1"/>
  <c r="P375" i="1" s="1"/>
  <c r="I374" i="1"/>
  <c r="K374" i="1" s="1"/>
  <c r="P374" i="1" s="1"/>
  <c r="I373" i="1"/>
  <c r="K373" i="1" s="1"/>
  <c r="P373" i="1" s="1"/>
  <c r="I372" i="1"/>
  <c r="K372" i="1" s="1"/>
  <c r="P372" i="1" s="1"/>
  <c r="I371" i="1"/>
  <c r="K371" i="1" s="1"/>
  <c r="P371" i="1" s="1"/>
  <c r="I370" i="1"/>
  <c r="K370" i="1" s="1"/>
  <c r="P370" i="1" s="1"/>
  <c r="I369" i="1"/>
  <c r="K369" i="1" s="1"/>
  <c r="P369" i="1" s="1"/>
  <c r="I368" i="1"/>
  <c r="K368" i="1" s="1"/>
  <c r="P368" i="1" s="1"/>
  <c r="I367" i="1"/>
  <c r="K367" i="1" s="1"/>
  <c r="P367" i="1" s="1"/>
  <c r="I366" i="1"/>
  <c r="K366" i="1" s="1"/>
  <c r="P366" i="1" s="1"/>
  <c r="I365" i="1"/>
  <c r="K365" i="1" s="1"/>
  <c r="P365" i="1" s="1"/>
  <c r="I364" i="1"/>
  <c r="K364" i="1" s="1"/>
  <c r="P364" i="1" s="1"/>
  <c r="I363" i="1"/>
  <c r="K363" i="1" s="1"/>
  <c r="P363" i="1" s="1"/>
  <c r="I362" i="1"/>
  <c r="K362" i="1" s="1"/>
  <c r="P362" i="1" s="1"/>
  <c r="I361" i="1"/>
  <c r="K361" i="1" s="1"/>
  <c r="P361" i="1" s="1"/>
  <c r="I360" i="1"/>
  <c r="K360" i="1" s="1"/>
  <c r="P360" i="1" s="1"/>
  <c r="I359" i="1"/>
  <c r="K359" i="1" s="1"/>
  <c r="P359" i="1" s="1"/>
  <c r="I358" i="1"/>
  <c r="K358" i="1" s="1"/>
  <c r="P358" i="1" s="1"/>
  <c r="I357" i="1"/>
  <c r="K357" i="1" s="1"/>
  <c r="P357" i="1" s="1"/>
  <c r="I356" i="1"/>
  <c r="K356" i="1" s="1"/>
  <c r="P356" i="1" s="1"/>
  <c r="I355" i="1"/>
  <c r="K355" i="1" s="1"/>
  <c r="P355" i="1" s="1"/>
  <c r="I354" i="1"/>
  <c r="K354" i="1" s="1"/>
  <c r="P354" i="1" s="1"/>
  <c r="I353" i="1"/>
  <c r="K353" i="1" s="1"/>
  <c r="P353" i="1" s="1"/>
  <c r="I352" i="1"/>
  <c r="K352" i="1" s="1"/>
  <c r="P352" i="1" s="1"/>
  <c r="I351" i="1"/>
  <c r="K351" i="1" s="1"/>
  <c r="P351" i="1" s="1"/>
  <c r="I350" i="1"/>
  <c r="K350" i="1" s="1"/>
  <c r="P350" i="1" s="1"/>
  <c r="I349" i="1"/>
  <c r="K349" i="1" s="1"/>
  <c r="P349" i="1" s="1"/>
  <c r="I348" i="1"/>
  <c r="K348" i="1" s="1"/>
  <c r="P348" i="1" s="1"/>
  <c r="I347" i="1"/>
  <c r="K347" i="1" s="1"/>
  <c r="P347" i="1" s="1"/>
  <c r="I346" i="1"/>
  <c r="K346" i="1" s="1"/>
  <c r="P346" i="1" s="1"/>
  <c r="I345" i="1"/>
  <c r="K345" i="1" s="1"/>
  <c r="P345" i="1" s="1"/>
  <c r="I344" i="1"/>
  <c r="K344" i="1" s="1"/>
  <c r="P344" i="1" s="1"/>
  <c r="I343" i="1"/>
  <c r="K343" i="1" s="1"/>
  <c r="P343" i="1" s="1"/>
  <c r="I342" i="1"/>
  <c r="K342" i="1" s="1"/>
  <c r="P342" i="1" s="1"/>
  <c r="I341" i="1"/>
  <c r="K341" i="1" s="1"/>
  <c r="P341" i="1" s="1"/>
  <c r="I340" i="1"/>
  <c r="K340" i="1" s="1"/>
  <c r="P340" i="1" s="1"/>
  <c r="I339" i="1"/>
  <c r="K339" i="1" s="1"/>
  <c r="P339" i="1" s="1"/>
  <c r="I338" i="1"/>
  <c r="K338" i="1" s="1"/>
  <c r="P338" i="1" s="1"/>
  <c r="I337" i="1"/>
  <c r="K337" i="1" s="1"/>
  <c r="P337" i="1" s="1"/>
  <c r="I336" i="1"/>
  <c r="K336" i="1" s="1"/>
  <c r="P336" i="1" s="1"/>
  <c r="I335" i="1"/>
  <c r="K335" i="1" s="1"/>
  <c r="P335" i="1" s="1"/>
  <c r="I334" i="1"/>
  <c r="K334" i="1" s="1"/>
  <c r="P334" i="1" s="1"/>
  <c r="I333" i="1"/>
  <c r="K333" i="1" s="1"/>
  <c r="P333" i="1" s="1"/>
  <c r="I332" i="1"/>
  <c r="K332" i="1" s="1"/>
  <c r="P332" i="1" s="1"/>
  <c r="I331" i="1"/>
  <c r="K331" i="1" s="1"/>
  <c r="P331" i="1" s="1"/>
  <c r="I330" i="1"/>
  <c r="K330" i="1" s="1"/>
  <c r="P330" i="1" s="1"/>
  <c r="I329" i="1"/>
  <c r="K329" i="1" s="1"/>
  <c r="P329" i="1" s="1"/>
  <c r="I328" i="1"/>
  <c r="K328" i="1" s="1"/>
  <c r="P328" i="1" s="1"/>
  <c r="I327" i="1"/>
  <c r="K327" i="1" s="1"/>
  <c r="P327" i="1" s="1"/>
  <c r="I326" i="1"/>
  <c r="K326" i="1" s="1"/>
  <c r="P326" i="1" s="1"/>
  <c r="I325" i="1"/>
  <c r="K325" i="1" s="1"/>
  <c r="P325" i="1" s="1"/>
  <c r="I324" i="1"/>
  <c r="K324" i="1" s="1"/>
  <c r="P324" i="1" s="1"/>
  <c r="I323" i="1"/>
  <c r="K323" i="1" s="1"/>
  <c r="P323" i="1" s="1"/>
  <c r="I322" i="1"/>
  <c r="K322" i="1" s="1"/>
  <c r="P322" i="1" s="1"/>
  <c r="I321" i="1"/>
  <c r="K321" i="1" s="1"/>
  <c r="P321" i="1" s="1"/>
  <c r="I320" i="1"/>
  <c r="K320" i="1" s="1"/>
  <c r="P320" i="1" s="1"/>
  <c r="I319" i="1"/>
  <c r="K319" i="1" s="1"/>
  <c r="P319" i="1" s="1"/>
  <c r="I318" i="1"/>
  <c r="K318" i="1" s="1"/>
  <c r="P318" i="1" s="1"/>
  <c r="I317" i="1"/>
  <c r="K317" i="1" s="1"/>
  <c r="P317" i="1" s="1"/>
  <c r="I316" i="1"/>
  <c r="K316" i="1" s="1"/>
  <c r="P316" i="1" s="1"/>
  <c r="I315" i="1"/>
  <c r="K315" i="1" s="1"/>
  <c r="P315" i="1" s="1"/>
  <c r="I314" i="1"/>
  <c r="K314" i="1" s="1"/>
  <c r="P314" i="1" s="1"/>
  <c r="I313" i="1"/>
  <c r="K313" i="1" s="1"/>
  <c r="P313" i="1" s="1"/>
  <c r="I312" i="1"/>
  <c r="K312" i="1" s="1"/>
  <c r="P312" i="1" s="1"/>
  <c r="I311" i="1"/>
  <c r="K311" i="1" s="1"/>
  <c r="P311" i="1" s="1"/>
  <c r="I310" i="1"/>
  <c r="K310" i="1" s="1"/>
  <c r="P310" i="1" s="1"/>
  <c r="I309" i="1"/>
  <c r="K309" i="1" s="1"/>
  <c r="P309" i="1" s="1"/>
  <c r="I308" i="1"/>
  <c r="K308" i="1" s="1"/>
  <c r="P308" i="1" s="1"/>
  <c r="I307" i="1"/>
  <c r="K307" i="1" s="1"/>
  <c r="P307" i="1" s="1"/>
  <c r="I306" i="1"/>
  <c r="K306" i="1" s="1"/>
  <c r="P306" i="1" s="1"/>
  <c r="I305" i="1"/>
  <c r="K305" i="1" s="1"/>
  <c r="P305" i="1" s="1"/>
  <c r="I304" i="1"/>
  <c r="K304" i="1" s="1"/>
  <c r="P304" i="1" s="1"/>
  <c r="I303" i="1"/>
  <c r="K303" i="1" s="1"/>
  <c r="P303" i="1" s="1"/>
  <c r="I302" i="1"/>
  <c r="K302" i="1" s="1"/>
  <c r="P302" i="1" s="1"/>
  <c r="I301" i="1"/>
  <c r="K301" i="1" s="1"/>
  <c r="P301" i="1" s="1"/>
  <c r="I300" i="1"/>
  <c r="K300" i="1" s="1"/>
  <c r="P300" i="1" s="1"/>
  <c r="I299" i="1"/>
  <c r="K299" i="1" s="1"/>
  <c r="P299" i="1" s="1"/>
  <c r="I298" i="1"/>
  <c r="K298" i="1" s="1"/>
  <c r="P298" i="1" s="1"/>
  <c r="I297" i="1"/>
  <c r="K297" i="1" s="1"/>
  <c r="P297" i="1" s="1"/>
  <c r="I296" i="1"/>
  <c r="K296" i="1" s="1"/>
  <c r="P296" i="1" s="1"/>
  <c r="I295" i="1"/>
  <c r="K295" i="1" s="1"/>
  <c r="P295" i="1" s="1"/>
  <c r="I294" i="1"/>
  <c r="K294" i="1" s="1"/>
  <c r="P294" i="1" s="1"/>
  <c r="I293" i="1"/>
  <c r="K293" i="1" s="1"/>
  <c r="P293" i="1" s="1"/>
  <c r="I292" i="1"/>
  <c r="K292" i="1" s="1"/>
  <c r="P292" i="1" s="1"/>
  <c r="I291" i="1"/>
  <c r="K291" i="1" s="1"/>
  <c r="P291" i="1" s="1"/>
  <c r="I290" i="1"/>
  <c r="K290" i="1" s="1"/>
  <c r="P290" i="1" s="1"/>
  <c r="I289" i="1"/>
  <c r="K289" i="1" s="1"/>
  <c r="P289" i="1" s="1"/>
  <c r="I288" i="1"/>
  <c r="K288" i="1" s="1"/>
  <c r="P288" i="1" s="1"/>
  <c r="I287" i="1"/>
  <c r="K287" i="1" s="1"/>
  <c r="P287" i="1" s="1"/>
  <c r="I286" i="1"/>
  <c r="K286" i="1" s="1"/>
  <c r="P286" i="1" s="1"/>
  <c r="I285" i="1"/>
  <c r="K285" i="1" s="1"/>
  <c r="P285" i="1" s="1"/>
  <c r="I284" i="1"/>
  <c r="K284" i="1" s="1"/>
  <c r="P284" i="1" s="1"/>
  <c r="I283" i="1"/>
  <c r="K283" i="1" s="1"/>
  <c r="P283" i="1" s="1"/>
  <c r="I282" i="1"/>
  <c r="K282" i="1" s="1"/>
  <c r="P282" i="1" s="1"/>
  <c r="I281" i="1"/>
  <c r="K281" i="1" s="1"/>
  <c r="P281" i="1" s="1"/>
  <c r="I280" i="1"/>
  <c r="K280" i="1" s="1"/>
  <c r="P280" i="1" s="1"/>
  <c r="I279" i="1"/>
  <c r="K279" i="1" s="1"/>
  <c r="P279" i="1" s="1"/>
  <c r="I278" i="1"/>
  <c r="K278" i="1" s="1"/>
  <c r="P278" i="1" s="1"/>
  <c r="I277" i="1"/>
  <c r="K277" i="1" s="1"/>
  <c r="P277" i="1" s="1"/>
  <c r="I276" i="1"/>
  <c r="K276" i="1" s="1"/>
  <c r="P276" i="1" s="1"/>
  <c r="I275" i="1"/>
  <c r="K275" i="1" s="1"/>
  <c r="P275" i="1" s="1"/>
  <c r="I274" i="1"/>
  <c r="K274" i="1" s="1"/>
  <c r="P274" i="1" s="1"/>
  <c r="I273" i="1"/>
  <c r="K273" i="1" s="1"/>
  <c r="P273" i="1" s="1"/>
  <c r="I272" i="1"/>
  <c r="K272" i="1" s="1"/>
  <c r="P272" i="1" s="1"/>
  <c r="I271" i="1"/>
  <c r="K271" i="1" s="1"/>
  <c r="P271" i="1" s="1"/>
  <c r="I270" i="1"/>
  <c r="K270" i="1" s="1"/>
  <c r="P270" i="1" s="1"/>
  <c r="I269" i="1"/>
  <c r="K269" i="1" s="1"/>
  <c r="P269" i="1" s="1"/>
  <c r="I268" i="1"/>
  <c r="K268" i="1" s="1"/>
  <c r="P268" i="1" s="1"/>
  <c r="I267" i="1"/>
  <c r="K267" i="1" s="1"/>
  <c r="P267" i="1" s="1"/>
  <c r="I266" i="1"/>
  <c r="K266" i="1" s="1"/>
  <c r="P266" i="1" s="1"/>
  <c r="I265" i="1"/>
  <c r="K265" i="1" s="1"/>
  <c r="P265" i="1" s="1"/>
  <c r="I264" i="1"/>
  <c r="K264" i="1" s="1"/>
  <c r="P264" i="1" s="1"/>
  <c r="I263" i="1"/>
  <c r="K263" i="1" s="1"/>
  <c r="P263" i="1" s="1"/>
  <c r="I262" i="1"/>
  <c r="K262" i="1" s="1"/>
  <c r="P262" i="1" s="1"/>
  <c r="I261" i="1"/>
  <c r="K261" i="1" s="1"/>
  <c r="P261" i="1" s="1"/>
  <c r="I260" i="1"/>
  <c r="K260" i="1" s="1"/>
  <c r="P260" i="1" s="1"/>
  <c r="I259" i="1"/>
  <c r="K259" i="1" s="1"/>
  <c r="P259" i="1" s="1"/>
  <c r="I258" i="1"/>
  <c r="K258" i="1" s="1"/>
  <c r="P258" i="1" s="1"/>
  <c r="I257" i="1"/>
  <c r="K257" i="1" s="1"/>
  <c r="P257" i="1" s="1"/>
  <c r="I256" i="1"/>
  <c r="K256" i="1" s="1"/>
  <c r="P256" i="1" s="1"/>
  <c r="I255" i="1"/>
  <c r="K255" i="1" s="1"/>
  <c r="P255" i="1" s="1"/>
  <c r="I254" i="1"/>
  <c r="K254" i="1" s="1"/>
  <c r="P254" i="1" s="1"/>
  <c r="I253" i="1"/>
  <c r="K253" i="1" s="1"/>
  <c r="P253" i="1" s="1"/>
  <c r="I252" i="1"/>
  <c r="K252" i="1" s="1"/>
  <c r="P252" i="1" s="1"/>
  <c r="I251" i="1"/>
  <c r="K251" i="1" s="1"/>
  <c r="P251" i="1" s="1"/>
  <c r="I250" i="1"/>
  <c r="K250" i="1" s="1"/>
  <c r="P250" i="1" s="1"/>
  <c r="I249" i="1"/>
  <c r="K249" i="1" s="1"/>
  <c r="P249" i="1" s="1"/>
  <c r="I248" i="1"/>
  <c r="K248" i="1" s="1"/>
  <c r="P248" i="1" s="1"/>
  <c r="I247" i="1"/>
  <c r="K247" i="1" s="1"/>
  <c r="P247" i="1" s="1"/>
  <c r="I246" i="1"/>
  <c r="K246" i="1" s="1"/>
  <c r="P246" i="1" s="1"/>
  <c r="I245" i="1"/>
  <c r="K245" i="1" s="1"/>
  <c r="P245" i="1" s="1"/>
  <c r="I244" i="1"/>
  <c r="K244" i="1" s="1"/>
  <c r="P244" i="1" s="1"/>
  <c r="I243" i="1"/>
  <c r="K243" i="1" s="1"/>
  <c r="P243" i="1" s="1"/>
  <c r="I242" i="1"/>
  <c r="K242" i="1" s="1"/>
  <c r="P242" i="1" s="1"/>
  <c r="I241" i="1"/>
  <c r="K241" i="1" s="1"/>
  <c r="P241" i="1" s="1"/>
  <c r="I240" i="1"/>
  <c r="K240" i="1" s="1"/>
  <c r="P240" i="1" s="1"/>
  <c r="I239" i="1"/>
  <c r="K239" i="1" s="1"/>
  <c r="P239" i="1" s="1"/>
  <c r="I238" i="1"/>
  <c r="K238" i="1" s="1"/>
  <c r="P238" i="1" s="1"/>
  <c r="I237" i="1"/>
  <c r="K237" i="1" s="1"/>
  <c r="P237" i="1" s="1"/>
  <c r="I236" i="1"/>
  <c r="K236" i="1" s="1"/>
  <c r="P236" i="1" s="1"/>
  <c r="I235" i="1"/>
  <c r="K235" i="1" s="1"/>
  <c r="P235" i="1" s="1"/>
  <c r="I234" i="1"/>
  <c r="K234" i="1" s="1"/>
  <c r="P234" i="1" s="1"/>
  <c r="I233" i="1"/>
  <c r="K233" i="1" s="1"/>
  <c r="P233" i="1" s="1"/>
  <c r="I232" i="1"/>
  <c r="K232" i="1" s="1"/>
  <c r="P232" i="1" s="1"/>
  <c r="I231" i="1"/>
  <c r="K231" i="1" s="1"/>
  <c r="P231" i="1" s="1"/>
  <c r="I230" i="1"/>
  <c r="K230" i="1" s="1"/>
  <c r="P230" i="1" s="1"/>
  <c r="I229" i="1"/>
  <c r="K229" i="1" s="1"/>
  <c r="P229" i="1" s="1"/>
  <c r="I228" i="1"/>
  <c r="K228" i="1" s="1"/>
  <c r="P228" i="1" s="1"/>
  <c r="I227" i="1"/>
  <c r="K227" i="1" s="1"/>
  <c r="P227" i="1" s="1"/>
  <c r="I226" i="1"/>
  <c r="K226" i="1" s="1"/>
  <c r="P226" i="1" s="1"/>
  <c r="I225" i="1"/>
  <c r="K225" i="1" s="1"/>
  <c r="P225" i="1" s="1"/>
  <c r="I224" i="1"/>
  <c r="K224" i="1" s="1"/>
  <c r="P224" i="1" s="1"/>
  <c r="I223" i="1"/>
  <c r="K223" i="1" s="1"/>
  <c r="P223" i="1" s="1"/>
  <c r="I222" i="1"/>
  <c r="K222" i="1" s="1"/>
  <c r="P222" i="1" s="1"/>
  <c r="I221" i="1"/>
  <c r="K221" i="1" s="1"/>
  <c r="P221" i="1" s="1"/>
  <c r="I220" i="1"/>
  <c r="K220" i="1" s="1"/>
  <c r="P220" i="1" s="1"/>
  <c r="I219" i="1"/>
  <c r="K219" i="1" s="1"/>
  <c r="P219" i="1" s="1"/>
  <c r="I218" i="1"/>
  <c r="K218" i="1" s="1"/>
  <c r="P218" i="1" s="1"/>
  <c r="I217" i="1"/>
  <c r="K217" i="1" s="1"/>
  <c r="P217" i="1" s="1"/>
  <c r="I216" i="1"/>
  <c r="K216" i="1" s="1"/>
  <c r="P216" i="1" s="1"/>
  <c r="I215" i="1"/>
  <c r="K215" i="1" s="1"/>
  <c r="P215" i="1" s="1"/>
  <c r="I214" i="1"/>
  <c r="K214" i="1" s="1"/>
  <c r="P214" i="1" s="1"/>
  <c r="I213" i="1"/>
  <c r="K213" i="1" s="1"/>
  <c r="P213" i="1" s="1"/>
  <c r="I212" i="1"/>
  <c r="K212" i="1" s="1"/>
  <c r="P212" i="1" s="1"/>
  <c r="I211" i="1"/>
  <c r="K211" i="1" s="1"/>
  <c r="P211" i="1" s="1"/>
  <c r="I210" i="1"/>
  <c r="K210" i="1" s="1"/>
  <c r="P210" i="1" s="1"/>
  <c r="I209" i="1"/>
  <c r="K209" i="1" s="1"/>
  <c r="P209" i="1" s="1"/>
  <c r="I208" i="1"/>
  <c r="K208" i="1" s="1"/>
  <c r="P208" i="1" s="1"/>
  <c r="I207" i="1"/>
  <c r="K207" i="1" s="1"/>
  <c r="P207" i="1" s="1"/>
  <c r="I206" i="1"/>
  <c r="K206" i="1" s="1"/>
  <c r="P206" i="1" s="1"/>
  <c r="I205" i="1"/>
  <c r="K205" i="1" s="1"/>
  <c r="P205" i="1" s="1"/>
  <c r="I204" i="1"/>
  <c r="K204" i="1" s="1"/>
  <c r="P204" i="1" s="1"/>
  <c r="I203" i="1"/>
  <c r="K203" i="1" s="1"/>
  <c r="P203" i="1" s="1"/>
  <c r="I202" i="1"/>
  <c r="K202" i="1" s="1"/>
  <c r="P202" i="1" s="1"/>
  <c r="I201" i="1"/>
  <c r="K201" i="1" s="1"/>
  <c r="P201" i="1" s="1"/>
  <c r="I200" i="1"/>
  <c r="K200" i="1" s="1"/>
  <c r="P200" i="1" s="1"/>
  <c r="I199" i="1"/>
  <c r="K199" i="1" s="1"/>
  <c r="P199" i="1" s="1"/>
  <c r="I198" i="1"/>
  <c r="K198" i="1" s="1"/>
  <c r="P198" i="1" s="1"/>
  <c r="I197" i="1"/>
  <c r="K197" i="1" s="1"/>
  <c r="P197" i="1" s="1"/>
  <c r="I196" i="1"/>
  <c r="K196" i="1" s="1"/>
  <c r="P196" i="1" s="1"/>
  <c r="I195" i="1"/>
  <c r="K195" i="1" s="1"/>
  <c r="P195" i="1" s="1"/>
  <c r="I194" i="1"/>
  <c r="K194" i="1" s="1"/>
  <c r="P194" i="1" s="1"/>
  <c r="I193" i="1"/>
  <c r="K193" i="1" s="1"/>
  <c r="P193" i="1" s="1"/>
  <c r="I192" i="1"/>
  <c r="K192" i="1" s="1"/>
  <c r="P192" i="1" s="1"/>
  <c r="I191" i="1"/>
  <c r="K191" i="1" s="1"/>
  <c r="P191" i="1" s="1"/>
  <c r="I190" i="1"/>
  <c r="K190" i="1" s="1"/>
  <c r="P190" i="1" s="1"/>
  <c r="I189" i="1"/>
  <c r="K189" i="1" s="1"/>
  <c r="P189" i="1" s="1"/>
  <c r="I188" i="1"/>
  <c r="K188" i="1" s="1"/>
  <c r="P188" i="1" s="1"/>
  <c r="I187" i="1"/>
  <c r="K187" i="1" s="1"/>
  <c r="P187" i="1" s="1"/>
  <c r="I186" i="1"/>
  <c r="K186" i="1" s="1"/>
  <c r="P186" i="1" s="1"/>
  <c r="I185" i="1"/>
  <c r="K185" i="1" s="1"/>
  <c r="P185" i="1" s="1"/>
  <c r="I184" i="1"/>
  <c r="K184" i="1" s="1"/>
  <c r="P184" i="1" s="1"/>
  <c r="I183" i="1"/>
  <c r="K183" i="1" s="1"/>
  <c r="P183" i="1" s="1"/>
  <c r="I182" i="1"/>
  <c r="K182" i="1" s="1"/>
  <c r="P182" i="1" s="1"/>
  <c r="I181" i="1"/>
  <c r="K181" i="1" s="1"/>
  <c r="P181" i="1" s="1"/>
  <c r="I180" i="1"/>
  <c r="K180" i="1" s="1"/>
  <c r="P180" i="1" s="1"/>
  <c r="I179" i="1"/>
  <c r="K179" i="1" s="1"/>
  <c r="P179" i="1" s="1"/>
  <c r="I178" i="1"/>
  <c r="K178" i="1" s="1"/>
  <c r="P178" i="1" s="1"/>
  <c r="I177" i="1"/>
  <c r="K177" i="1" s="1"/>
  <c r="P177" i="1" s="1"/>
  <c r="I176" i="1"/>
  <c r="K176" i="1" s="1"/>
  <c r="P176" i="1" s="1"/>
  <c r="I175" i="1"/>
  <c r="K175" i="1" s="1"/>
  <c r="P175" i="1" s="1"/>
  <c r="I174" i="1"/>
  <c r="K174" i="1" s="1"/>
  <c r="P174" i="1" s="1"/>
  <c r="I173" i="1"/>
  <c r="K173" i="1" s="1"/>
  <c r="P173" i="1" s="1"/>
  <c r="I172" i="1"/>
  <c r="K172" i="1" s="1"/>
  <c r="P172" i="1" s="1"/>
  <c r="I171" i="1"/>
  <c r="K171" i="1" s="1"/>
  <c r="P171" i="1" s="1"/>
  <c r="I170" i="1"/>
  <c r="K170" i="1" s="1"/>
  <c r="P170" i="1" s="1"/>
  <c r="I169" i="1"/>
  <c r="K169" i="1" s="1"/>
  <c r="P169" i="1" s="1"/>
  <c r="I168" i="1"/>
  <c r="K168" i="1" s="1"/>
  <c r="P168" i="1" s="1"/>
  <c r="I167" i="1"/>
  <c r="K167" i="1" s="1"/>
  <c r="P167" i="1" s="1"/>
  <c r="I166" i="1"/>
  <c r="K166" i="1" s="1"/>
  <c r="P166" i="1" s="1"/>
  <c r="I165" i="1"/>
  <c r="K165" i="1" s="1"/>
  <c r="P165" i="1" s="1"/>
  <c r="I164" i="1"/>
  <c r="K164" i="1" s="1"/>
  <c r="P164" i="1" s="1"/>
  <c r="I163" i="1"/>
  <c r="K163" i="1" s="1"/>
  <c r="P163" i="1" s="1"/>
  <c r="I162" i="1"/>
  <c r="K162" i="1" s="1"/>
  <c r="P162" i="1" s="1"/>
  <c r="I161" i="1"/>
  <c r="K161" i="1" s="1"/>
  <c r="P161" i="1" s="1"/>
  <c r="I160" i="1"/>
  <c r="K160" i="1" s="1"/>
  <c r="P160" i="1" s="1"/>
  <c r="I159" i="1"/>
  <c r="K159" i="1" s="1"/>
  <c r="P159" i="1" s="1"/>
  <c r="I158" i="1"/>
  <c r="K158" i="1" s="1"/>
  <c r="P158" i="1" s="1"/>
  <c r="I157" i="1"/>
  <c r="K157" i="1" s="1"/>
  <c r="P157" i="1" s="1"/>
  <c r="I156" i="1"/>
  <c r="K156" i="1" s="1"/>
  <c r="P156" i="1" s="1"/>
  <c r="I155" i="1"/>
  <c r="K155" i="1" s="1"/>
  <c r="P155" i="1" s="1"/>
  <c r="I154" i="1"/>
  <c r="K154" i="1" s="1"/>
  <c r="P154" i="1" s="1"/>
  <c r="I153" i="1"/>
  <c r="K153" i="1" s="1"/>
  <c r="P153" i="1" s="1"/>
  <c r="I152" i="1"/>
  <c r="K152" i="1" s="1"/>
  <c r="P152" i="1" s="1"/>
  <c r="I151" i="1"/>
  <c r="K151" i="1" s="1"/>
  <c r="P151" i="1" s="1"/>
  <c r="I150" i="1"/>
  <c r="K150" i="1" s="1"/>
  <c r="P150" i="1" s="1"/>
  <c r="I149" i="1"/>
  <c r="K149" i="1" s="1"/>
  <c r="P149" i="1" s="1"/>
  <c r="I148" i="1"/>
  <c r="K148" i="1" s="1"/>
  <c r="P148" i="1" s="1"/>
  <c r="I147" i="1"/>
  <c r="K147" i="1" s="1"/>
  <c r="P147" i="1" s="1"/>
  <c r="I146" i="1"/>
  <c r="K146" i="1" s="1"/>
  <c r="P146" i="1" s="1"/>
  <c r="I145" i="1"/>
  <c r="K145" i="1" s="1"/>
  <c r="P145" i="1" s="1"/>
  <c r="I144" i="1"/>
  <c r="K144" i="1" s="1"/>
  <c r="P144" i="1" s="1"/>
  <c r="I143" i="1"/>
  <c r="K143" i="1" s="1"/>
  <c r="P143" i="1" s="1"/>
  <c r="I142" i="1"/>
  <c r="K142" i="1" s="1"/>
  <c r="P142" i="1" s="1"/>
  <c r="I141" i="1"/>
  <c r="K141" i="1" s="1"/>
  <c r="P141" i="1" s="1"/>
  <c r="I140" i="1"/>
  <c r="K140" i="1" s="1"/>
  <c r="P140" i="1" s="1"/>
  <c r="I139" i="1"/>
  <c r="K139" i="1" s="1"/>
  <c r="P139" i="1" s="1"/>
  <c r="I138" i="1"/>
  <c r="K138" i="1" s="1"/>
  <c r="P138" i="1" s="1"/>
  <c r="I137" i="1"/>
  <c r="K137" i="1" s="1"/>
  <c r="P137" i="1" s="1"/>
  <c r="I136" i="1"/>
  <c r="K136" i="1" s="1"/>
  <c r="P136" i="1" s="1"/>
  <c r="I135" i="1"/>
  <c r="K135" i="1" s="1"/>
  <c r="P135" i="1" s="1"/>
  <c r="I134" i="1"/>
  <c r="K134" i="1" s="1"/>
  <c r="P134" i="1" s="1"/>
  <c r="I133" i="1"/>
  <c r="K133" i="1" s="1"/>
  <c r="P133" i="1" s="1"/>
  <c r="I132" i="1"/>
  <c r="K132" i="1" s="1"/>
  <c r="P132" i="1" s="1"/>
  <c r="I131" i="1"/>
  <c r="K131" i="1" s="1"/>
  <c r="P131" i="1" s="1"/>
  <c r="I130" i="1"/>
  <c r="K130" i="1" s="1"/>
  <c r="P130" i="1" s="1"/>
  <c r="I129" i="1"/>
  <c r="K129" i="1" s="1"/>
  <c r="P129" i="1" s="1"/>
  <c r="I128" i="1"/>
  <c r="K128" i="1" s="1"/>
  <c r="P128" i="1" s="1"/>
  <c r="I127" i="1"/>
  <c r="K127" i="1" s="1"/>
  <c r="P127" i="1" s="1"/>
  <c r="I126" i="1"/>
  <c r="K126" i="1" s="1"/>
  <c r="P126" i="1" s="1"/>
  <c r="I125" i="1"/>
  <c r="K125" i="1" s="1"/>
  <c r="P125" i="1" s="1"/>
  <c r="I124" i="1"/>
  <c r="K124" i="1" s="1"/>
  <c r="P124" i="1" s="1"/>
  <c r="I123" i="1"/>
  <c r="K123" i="1" s="1"/>
  <c r="P123" i="1" s="1"/>
  <c r="I122" i="1"/>
  <c r="K122" i="1" s="1"/>
  <c r="P122" i="1" s="1"/>
  <c r="I121" i="1"/>
  <c r="K121" i="1" s="1"/>
  <c r="P121" i="1" s="1"/>
  <c r="I120" i="1"/>
  <c r="K120" i="1" s="1"/>
  <c r="P120" i="1" s="1"/>
  <c r="I119" i="1"/>
  <c r="K119" i="1" s="1"/>
  <c r="P119" i="1" s="1"/>
  <c r="I118" i="1"/>
  <c r="K118" i="1" s="1"/>
  <c r="P118" i="1" s="1"/>
  <c r="I117" i="1"/>
  <c r="K117" i="1" s="1"/>
  <c r="P117" i="1" s="1"/>
  <c r="I116" i="1"/>
  <c r="K116" i="1" s="1"/>
  <c r="P116" i="1" s="1"/>
  <c r="I115" i="1"/>
  <c r="K115" i="1" s="1"/>
  <c r="P115" i="1" s="1"/>
  <c r="I114" i="1"/>
  <c r="K114" i="1" s="1"/>
  <c r="P114" i="1" s="1"/>
  <c r="I113" i="1"/>
  <c r="K113" i="1" s="1"/>
  <c r="P113" i="1" s="1"/>
  <c r="I112" i="1"/>
  <c r="K112" i="1" s="1"/>
  <c r="P112" i="1" s="1"/>
  <c r="I111" i="1"/>
  <c r="K111" i="1" s="1"/>
  <c r="P111" i="1" s="1"/>
  <c r="I110" i="1"/>
  <c r="K110" i="1" s="1"/>
  <c r="P110" i="1" s="1"/>
  <c r="I109" i="1"/>
  <c r="K109" i="1" s="1"/>
  <c r="P109" i="1" s="1"/>
  <c r="I108" i="1"/>
  <c r="K108" i="1" s="1"/>
  <c r="P108" i="1" s="1"/>
  <c r="I107" i="1"/>
  <c r="K107" i="1" s="1"/>
  <c r="P107" i="1" s="1"/>
  <c r="I106" i="1"/>
  <c r="K106" i="1" s="1"/>
  <c r="P106" i="1" s="1"/>
  <c r="I105" i="1"/>
  <c r="K105" i="1" s="1"/>
  <c r="P105" i="1" s="1"/>
  <c r="I104" i="1"/>
  <c r="K104" i="1" s="1"/>
  <c r="P104" i="1" s="1"/>
  <c r="I103" i="1"/>
  <c r="K103" i="1" s="1"/>
  <c r="P103" i="1" s="1"/>
  <c r="I102" i="1"/>
  <c r="K102" i="1" s="1"/>
  <c r="P102" i="1" s="1"/>
  <c r="I101" i="1"/>
  <c r="K101" i="1" s="1"/>
  <c r="P101" i="1" s="1"/>
  <c r="I100" i="1"/>
  <c r="K100" i="1" s="1"/>
  <c r="P100" i="1" s="1"/>
  <c r="I99" i="1"/>
  <c r="K99" i="1" s="1"/>
  <c r="P99" i="1" s="1"/>
  <c r="I98" i="1"/>
  <c r="K98" i="1" s="1"/>
  <c r="P98" i="1" s="1"/>
  <c r="I97" i="1"/>
  <c r="K97" i="1" s="1"/>
  <c r="P97" i="1" s="1"/>
  <c r="I96" i="1"/>
  <c r="K96" i="1" s="1"/>
  <c r="P96" i="1" s="1"/>
  <c r="I95" i="1"/>
  <c r="K95" i="1" s="1"/>
  <c r="P95" i="1" s="1"/>
  <c r="I94" i="1"/>
  <c r="K94" i="1" s="1"/>
  <c r="P94" i="1" s="1"/>
  <c r="I93" i="1"/>
  <c r="K93" i="1" s="1"/>
  <c r="P93" i="1" s="1"/>
  <c r="I92" i="1"/>
  <c r="K92" i="1" s="1"/>
  <c r="P92" i="1" s="1"/>
  <c r="I91" i="1"/>
  <c r="K91" i="1" s="1"/>
  <c r="P91" i="1" s="1"/>
  <c r="I90" i="1"/>
  <c r="K90" i="1" s="1"/>
  <c r="P90" i="1" s="1"/>
  <c r="I89" i="1"/>
  <c r="K89" i="1" s="1"/>
  <c r="P89" i="1" s="1"/>
  <c r="I88" i="1"/>
  <c r="K88" i="1" s="1"/>
  <c r="P88" i="1" s="1"/>
  <c r="I87" i="1"/>
  <c r="K87" i="1" s="1"/>
  <c r="P87" i="1" s="1"/>
  <c r="I86" i="1"/>
  <c r="K86" i="1" s="1"/>
  <c r="P86" i="1" s="1"/>
  <c r="I85" i="1"/>
  <c r="K85" i="1" s="1"/>
  <c r="P85" i="1" s="1"/>
  <c r="I84" i="1"/>
  <c r="K84" i="1" s="1"/>
  <c r="P84" i="1" s="1"/>
  <c r="I83" i="1"/>
  <c r="K83" i="1" s="1"/>
  <c r="P83" i="1" s="1"/>
  <c r="I82" i="1"/>
  <c r="K82" i="1" s="1"/>
  <c r="P82" i="1" s="1"/>
  <c r="I81" i="1"/>
  <c r="K81" i="1" s="1"/>
  <c r="P81" i="1" s="1"/>
  <c r="I80" i="1"/>
  <c r="K80" i="1" s="1"/>
  <c r="P80" i="1" s="1"/>
  <c r="I79" i="1"/>
  <c r="K79" i="1" s="1"/>
  <c r="P79" i="1" s="1"/>
  <c r="I78" i="1"/>
  <c r="K78" i="1" s="1"/>
  <c r="P78" i="1" s="1"/>
  <c r="I77" i="1"/>
  <c r="K77" i="1" s="1"/>
  <c r="P77" i="1" s="1"/>
  <c r="I76" i="1"/>
  <c r="K76" i="1" s="1"/>
  <c r="P76" i="1" s="1"/>
  <c r="I75" i="1"/>
  <c r="K75" i="1" s="1"/>
  <c r="P75" i="1" s="1"/>
  <c r="I74" i="1"/>
  <c r="K74" i="1" s="1"/>
  <c r="P74" i="1" s="1"/>
  <c r="I73" i="1"/>
  <c r="K73" i="1" s="1"/>
  <c r="P73" i="1" s="1"/>
  <c r="I72" i="1"/>
  <c r="K72" i="1" s="1"/>
  <c r="P72" i="1" s="1"/>
  <c r="I71" i="1"/>
  <c r="K71" i="1" s="1"/>
  <c r="P71" i="1" s="1"/>
  <c r="I70" i="1"/>
  <c r="K70" i="1" s="1"/>
  <c r="P70" i="1" s="1"/>
  <c r="I69" i="1"/>
  <c r="K69" i="1" s="1"/>
  <c r="P69" i="1" s="1"/>
  <c r="I68" i="1"/>
  <c r="K68" i="1" s="1"/>
  <c r="P68" i="1" s="1"/>
  <c r="I67" i="1"/>
  <c r="K67" i="1" s="1"/>
  <c r="P67" i="1" s="1"/>
  <c r="I66" i="1"/>
  <c r="K66" i="1" s="1"/>
  <c r="P66" i="1" s="1"/>
  <c r="I65" i="1"/>
  <c r="K65" i="1" s="1"/>
  <c r="P65" i="1" s="1"/>
  <c r="I64" i="1"/>
  <c r="K64" i="1" s="1"/>
  <c r="P64" i="1" s="1"/>
  <c r="I63" i="1"/>
  <c r="K63" i="1" s="1"/>
  <c r="P63" i="1" s="1"/>
  <c r="I62" i="1"/>
  <c r="K62" i="1" s="1"/>
  <c r="P62" i="1" s="1"/>
  <c r="I61" i="1"/>
  <c r="K61" i="1" s="1"/>
  <c r="P61" i="1" s="1"/>
  <c r="I60" i="1"/>
  <c r="K60" i="1" s="1"/>
  <c r="P60" i="1" s="1"/>
  <c r="I59" i="1"/>
  <c r="K59" i="1" s="1"/>
  <c r="P59" i="1" s="1"/>
  <c r="I58" i="1"/>
  <c r="K58" i="1" s="1"/>
  <c r="P58" i="1" s="1"/>
  <c r="I57" i="1"/>
  <c r="K57" i="1" s="1"/>
  <c r="P57" i="1" s="1"/>
  <c r="I56" i="1"/>
  <c r="K56" i="1" s="1"/>
  <c r="P56" i="1" s="1"/>
  <c r="I55" i="1"/>
  <c r="K55" i="1" s="1"/>
  <c r="P55" i="1" s="1"/>
  <c r="I54" i="1"/>
  <c r="K54" i="1" s="1"/>
  <c r="P54" i="1" s="1"/>
  <c r="I53" i="1"/>
  <c r="K53" i="1" s="1"/>
  <c r="P53" i="1" s="1"/>
  <c r="I52" i="1"/>
  <c r="K52" i="1" s="1"/>
  <c r="P52" i="1" s="1"/>
  <c r="I51" i="1"/>
  <c r="K51" i="1" s="1"/>
  <c r="P51" i="1" s="1"/>
  <c r="I50" i="1"/>
  <c r="K50" i="1" s="1"/>
  <c r="P50" i="1" s="1"/>
  <c r="I49" i="1"/>
  <c r="K49" i="1" s="1"/>
  <c r="P49" i="1" s="1"/>
  <c r="I48" i="1"/>
  <c r="K48" i="1" s="1"/>
  <c r="P48" i="1" s="1"/>
  <c r="I47" i="1"/>
  <c r="K47" i="1" s="1"/>
  <c r="P47" i="1" s="1"/>
  <c r="I46" i="1"/>
  <c r="K46" i="1" s="1"/>
  <c r="P46" i="1" s="1"/>
  <c r="I45" i="1"/>
  <c r="K45" i="1" s="1"/>
  <c r="P45" i="1" s="1"/>
  <c r="I44" i="1"/>
  <c r="K44" i="1" s="1"/>
  <c r="P44" i="1" s="1"/>
  <c r="I43" i="1"/>
  <c r="K43" i="1" s="1"/>
  <c r="P43" i="1" s="1"/>
  <c r="I42" i="1"/>
  <c r="K42" i="1" s="1"/>
  <c r="P42" i="1" s="1"/>
  <c r="I41" i="1"/>
  <c r="K41" i="1" s="1"/>
  <c r="P41" i="1" s="1"/>
  <c r="I40" i="1"/>
  <c r="K40" i="1" s="1"/>
  <c r="P40" i="1" s="1"/>
  <c r="I39" i="1"/>
  <c r="K39" i="1" s="1"/>
  <c r="P39" i="1" s="1"/>
  <c r="I38" i="1"/>
  <c r="K38" i="1" s="1"/>
  <c r="P38" i="1" s="1"/>
  <c r="I37" i="1"/>
  <c r="K37" i="1" s="1"/>
  <c r="P37" i="1" s="1"/>
  <c r="I36" i="1"/>
  <c r="K36" i="1" s="1"/>
  <c r="P36" i="1" s="1"/>
  <c r="I35" i="1"/>
  <c r="K35" i="1" s="1"/>
  <c r="P35" i="1" s="1"/>
  <c r="I34" i="1"/>
  <c r="K34" i="1" s="1"/>
  <c r="P34" i="1" s="1"/>
  <c r="I33" i="1"/>
  <c r="K33" i="1" s="1"/>
  <c r="P33" i="1" s="1"/>
  <c r="I32" i="1"/>
  <c r="K32" i="1" s="1"/>
  <c r="P32" i="1" s="1"/>
  <c r="I31" i="1"/>
  <c r="K31" i="1" s="1"/>
  <c r="P31" i="1" s="1"/>
  <c r="I30" i="1"/>
  <c r="K30" i="1" s="1"/>
  <c r="P30" i="1" s="1"/>
  <c r="I29" i="1"/>
  <c r="K29" i="1" s="1"/>
  <c r="P29" i="1" s="1"/>
  <c r="I28" i="1"/>
  <c r="K28" i="1" s="1"/>
  <c r="P28" i="1" s="1"/>
  <c r="I27" i="1"/>
  <c r="K27" i="1" s="1"/>
  <c r="P27" i="1" s="1"/>
  <c r="I26" i="1"/>
  <c r="K26" i="1" s="1"/>
  <c r="P26" i="1" s="1"/>
  <c r="I25" i="1"/>
  <c r="K25" i="1" s="1"/>
  <c r="P25" i="1" s="1"/>
  <c r="I24" i="1"/>
  <c r="K24" i="1" s="1"/>
  <c r="P24" i="1" s="1"/>
  <c r="I23" i="1"/>
  <c r="K23" i="1" s="1"/>
  <c r="P23" i="1" s="1"/>
  <c r="I22" i="1"/>
  <c r="I21" i="1"/>
  <c r="K21" i="1" s="1"/>
  <c r="P21" i="1" s="1"/>
  <c r="I20" i="1"/>
  <c r="K20" i="1" s="1"/>
  <c r="P20" i="1" s="1"/>
  <c r="I19" i="1"/>
  <c r="K19" i="1" s="1"/>
  <c r="P19" i="1" s="1"/>
  <c r="I18" i="1"/>
  <c r="K18" i="1" s="1"/>
  <c r="P18" i="1" s="1"/>
  <c r="I17" i="1"/>
  <c r="K17" i="1" s="1"/>
  <c r="P17" i="1" s="1"/>
  <c r="I16" i="1"/>
  <c r="K16" i="1" s="1"/>
  <c r="P16" i="1" s="1"/>
  <c r="I15" i="1"/>
  <c r="I14" i="1"/>
  <c r="K14" i="1" s="1"/>
  <c r="P14" i="1" s="1"/>
  <c r="I13" i="1"/>
  <c r="K13" i="1" s="1"/>
  <c r="P13" i="1" s="1"/>
  <c r="I12" i="1"/>
  <c r="K12" i="1" s="1"/>
  <c r="P12" i="1" s="1"/>
  <c r="I11" i="1"/>
  <c r="K11" i="1" s="1"/>
  <c r="P11" i="1" s="1"/>
  <c r="I10" i="1"/>
  <c r="K10" i="1" s="1"/>
  <c r="P10" i="1" s="1"/>
  <c r="I9" i="1"/>
  <c r="K9" i="1" s="1"/>
  <c r="P9" i="1" s="1"/>
  <c r="I8" i="1"/>
  <c r="K8" i="1" s="1"/>
  <c r="P8" i="1" s="1"/>
  <c r="I7" i="1"/>
  <c r="K7" i="1" s="1"/>
  <c r="P7" i="1" s="1"/>
  <c r="I6" i="1"/>
  <c r="K6" i="1" s="1"/>
  <c r="P6" i="1" s="1"/>
  <c r="I5" i="1"/>
  <c r="I4" i="1"/>
  <c r="K4" i="1" s="1"/>
  <c r="P4" i="1" s="1"/>
  <c r="I3" i="1"/>
  <c r="I2" i="1"/>
  <c r="E5" i="4" l="1"/>
  <c r="E15" i="4"/>
  <c r="E18" i="4"/>
  <c r="D2" i="2"/>
  <c r="F2" i="2" s="1"/>
  <c r="E6" i="4"/>
  <c r="E17" i="4"/>
  <c r="E13" i="4"/>
  <c r="E5" i="2"/>
  <c r="E10" i="4"/>
  <c r="E7" i="4"/>
  <c r="E3" i="4"/>
  <c r="E19" i="4"/>
  <c r="E9" i="2"/>
  <c r="C12" i="2"/>
  <c r="E9" i="4"/>
  <c r="E14" i="4"/>
  <c r="E6" i="2"/>
  <c r="E3" i="2"/>
  <c r="D3" i="2"/>
  <c r="F3" i="2" s="1"/>
  <c r="C4" i="3"/>
  <c r="D4" i="2"/>
  <c r="F4" i="2" s="1"/>
  <c r="D9" i="2"/>
  <c r="F9" i="2" s="1"/>
  <c r="E11" i="4"/>
  <c r="E16" i="4"/>
  <c r="K2" i="1"/>
  <c r="P2" i="1" s="1"/>
  <c r="C2" i="3"/>
  <c r="K15" i="1"/>
  <c r="C5" i="3"/>
  <c r="D5" i="2"/>
  <c r="F5" i="2" s="1"/>
  <c r="C3" i="3"/>
  <c r="K5" i="1"/>
  <c r="P5" i="1" s="1"/>
  <c r="D10" i="2"/>
  <c r="F10" i="2" s="1"/>
  <c r="I502" i="1"/>
  <c r="D6" i="2"/>
  <c r="F6" i="2" s="1"/>
  <c r="D7" i="2"/>
  <c r="F7" i="2" s="1"/>
  <c r="E11" i="2"/>
  <c r="D8" i="2"/>
  <c r="F8" i="2" s="1"/>
  <c r="E7" i="2"/>
  <c r="D11" i="2"/>
  <c r="F11" i="2" s="1"/>
  <c r="K22" i="1"/>
  <c r="B6" i="3"/>
  <c r="K3" i="1"/>
  <c r="P3" i="1" s="1"/>
  <c r="E4" i="4"/>
  <c r="E8" i="4"/>
  <c r="E12" i="4"/>
  <c r="E2" i="2" l="1"/>
  <c r="P22" i="1"/>
  <c r="D5" i="3"/>
  <c r="P15" i="1"/>
  <c r="E8" i="2"/>
  <c r="D2" i="3"/>
  <c r="D12" i="2"/>
  <c r="C6" i="3"/>
  <c r="E4" i="2"/>
  <c r="K502" i="1"/>
  <c r="D4" i="3"/>
  <c r="E10" i="2"/>
  <c r="D3" i="3"/>
  <c r="E3" i="3" l="1"/>
  <c r="E12" i="2"/>
  <c r="E4" i="3"/>
  <c r="E2" i="3"/>
  <c r="D6" i="3"/>
  <c r="E5" i="3"/>
</calcChain>
</file>

<file path=xl/sharedStrings.xml><?xml version="1.0" encoding="utf-8"?>
<sst xmlns="http://schemas.openxmlformats.org/spreadsheetml/2006/main" count="3705" uniqueCount="937">
  <si>
    <t>Order ID</t>
  </si>
  <si>
    <t>Date</t>
  </si>
  <si>
    <t>Sales Rep</t>
  </si>
  <si>
    <t>Region</t>
  </si>
  <si>
    <t>Product</t>
  </si>
  <si>
    <t>Category</t>
  </si>
  <si>
    <t>Units</t>
  </si>
  <si>
    <t>Unit Price ($)</t>
  </si>
  <si>
    <t>Revenue ($)</t>
  </si>
  <si>
    <t>Discount (%)</t>
  </si>
  <si>
    <t>Net Revenue ($)</t>
  </si>
  <si>
    <t>Status</t>
  </si>
  <si>
    <t>ORD-0029</t>
  </si>
  <si>
    <t>2025-01-01</t>
  </si>
  <si>
    <t>Carol Lee</t>
  </si>
  <si>
    <t>East</t>
  </si>
  <si>
    <t>Whiteboard</t>
  </si>
  <si>
    <t>Furniture</t>
  </si>
  <si>
    <t>Completed</t>
  </si>
  <si>
    <t>ORD-0048</t>
  </si>
  <si>
    <t>2025-01-03</t>
  </si>
  <si>
    <t>Grace Park</t>
  </si>
  <si>
    <t>North</t>
  </si>
  <si>
    <t>Laptop Pro 13</t>
  </si>
  <si>
    <t>Electronics</t>
  </si>
  <si>
    <t>ORD-0153</t>
  </si>
  <si>
    <t>ORD-0037</t>
  </si>
  <si>
    <t>2025-01-08</t>
  </si>
  <si>
    <t>Iris Patel</t>
  </si>
  <si>
    <t>Wireless Mouse</t>
  </si>
  <si>
    <t>Accessories</t>
  </si>
  <si>
    <t>ORD-0258</t>
  </si>
  <si>
    <t>David Kim</t>
  </si>
  <si>
    <t>West</t>
  </si>
  <si>
    <t>Cable Management Kit</t>
  </si>
  <si>
    <t>ORD-0057</t>
  </si>
  <si>
    <t>2025-01-10</t>
  </si>
  <si>
    <t>Eve Torres</t>
  </si>
  <si>
    <t>South</t>
  </si>
  <si>
    <t>Ergonomic Chair</t>
  </si>
  <si>
    <t>ORD-0067</t>
  </si>
  <si>
    <t>Henry Wu</t>
  </si>
  <si>
    <t>ORD-0468</t>
  </si>
  <si>
    <t>Monitor 27"</t>
  </si>
  <si>
    <t>ORD-0133</t>
  </si>
  <si>
    <t>2025-01-11</t>
  </si>
  <si>
    <t>Laptop Stand</t>
  </si>
  <si>
    <t>ORD-0495</t>
  </si>
  <si>
    <t>2025-01-13</t>
  </si>
  <si>
    <t>James Rivera</t>
  </si>
  <si>
    <t>ORD-0210</t>
  </si>
  <si>
    <t>2025-01-15</t>
  </si>
  <si>
    <t>Frank Ng</t>
  </si>
  <si>
    <t>ORD-0046</t>
  </si>
  <si>
    <t>2025-01-16</t>
  </si>
  <si>
    <t>Bob Smith</t>
  </si>
  <si>
    <t>ORD-0036</t>
  </si>
  <si>
    <t>2025-01-22</t>
  </si>
  <si>
    <t>ORD-0248</t>
  </si>
  <si>
    <t>2025-01-27</t>
  </si>
  <si>
    <t>VPN License (1yr)</t>
  </si>
  <si>
    <t>Software</t>
  </si>
  <si>
    <t>ORD-0112</t>
  </si>
  <si>
    <t>2025-01-28</t>
  </si>
  <si>
    <t>Laptop Pro 15</t>
  </si>
  <si>
    <t>ORD-0383</t>
  </si>
  <si>
    <t>Standing Desk</t>
  </si>
  <si>
    <t>ORD-0191</t>
  </si>
  <si>
    <t>2025-01-30</t>
  </si>
  <si>
    <t>ORD-0437</t>
  </si>
  <si>
    <t>2025-02-02</t>
  </si>
  <si>
    <t>Noise Cancelling Headphones</t>
  </si>
  <si>
    <t>Pending</t>
  </si>
  <si>
    <t>ORD-0476</t>
  </si>
  <si>
    <t>USB-C Hub</t>
  </si>
  <si>
    <t>ORD-0481</t>
  </si>
  <si>
    <t>2025-02-03</t>
  </si>
  <si>
    <t>Project Mgmt License</t>
  </si>
  <si>
    <t>ORD-0204</t>
  </si>
  <si>
    <t>2025-02-04</t>
  </si>
  <si>
    <t>Alice Johnson</t>
  </si>
  <si>
    <t>ORD-0466</t>
  </si>
  <si>
    <t>Antivirus Suite (1yr)</t>
  </si>
  <si>
    <t>ORD-0332</t>
  </si>
  <si>
    <t>2025-02-05</t>
  </si>
  <si>
    <t>ORD-0068</t>
  </si>
  <si>
    <t>2025-02-06</t>
  </si>
  <si>
    <t>Design Suite License</t>
  </si>
  <si>
    <t>ORD-0405</t>
  </si>
  <si>
    <t>2025-02-07</t>
  </si>
  <si>
    <t>Webcam 4K</t>
  </si>
  <si>
    <t>ORD-0215</t>
  </si>
  <si>
    <t>2025-02-08</t>
  </si>
  <si>
    <t>Monitor 32"</t>
  </si>
  <si>
    <t>ORD-0275</t>
  </si>
  <si>
    <t>ORD-0291</t>
  </si>
  <si>
    <t>ORD-0406</t>
  </si>
  <si>
    <t>ORD-0079</t>
  </si>
  <si>
    <t>2025-02-09</t>
  </si>
  <si>
    <t>Mechanical Keyboard</t>
  </si>
  <si>
    <t>ORD-0124</t>
  </si>
  <si>
    <t>2025-02-12</t>
  </si>
  <si>
    <t>ORD-0355</t>
  </si>
  <si>
    <t>Cloud Backup (1yr)</t>
  </si>
  <si>
    <t>ORD-0479</t>
  </si>
  <si>
    <t>2025-02-13</t>
  </si>
  <si>
    <t>Bookshelf</t>
  </si>
  <si>
    <t>ORD-0315</t>
  </si>
  <si>
    <t>2025-02-14</t>
  </si>
  <si>
    <t>ORD-0320</t>
  </si>
  <si>
    <t>ORD-0372</t>
  </si>
  <si>
    <t>2025-02-16</t>
  </si>
  <si>
    <t>ORD-0309</t>
  </si>
  <si>
    <t>2025-02-18</t>
  </si>
  <si>
    <t>ORD-0223</t>
  </si>
  <si>
    <t>2025-02-21</t>
  </si>
  <si>
    <t>ORD-0244</t>
  </si>
  <si>
    <t>2025-02-22</t>
  </si>
  <si>
    <t>ORD-0384</t>
  </si>
  <si>
    <t>ORD-0451</t>
  </si>
  <si>
    <t>ORD-0229</t>
  </si>
  <si>
    <t>2025-02-23</t>
  </si>
  <si>
    <t>ORD-0282</t>
  </si>
  <si>
    <t>ORD-0400</t>
  </si>
  <si>
    <t>ORD-0147</t>
  </si>
  <si>
    <t>2025-02-24</t>
  </si>
  <si>
    <t>ORD-0016</t>
  </si>
  <si>
    <t>2025-02-27</t>
  </si>
  <si>
    <t>ORD-0359</t>
  </si>
  <si>
    <t>2025-03-03</t>
  </si>
  <si>
    <t>ORD-0050</t>
  </si>
  <si>
    <t>2025-03-04</t>
  </si>
  <si>
    <t>Cancelled</t>
  </si>
  <si>
    <t>ORD-0221</t>
  </si>
  <si>
    <t>ORD-0388</t>
  </si>
  <si>
    <t>2025-03-05</t>
  </si>
  <si>
    <t>ORD-0310</t>
  </si>
  <si>
    <t>2025-03-06</t>
  </si>
  <si>
    <t>ORD-0017</t>
  </si>
  <si>
    <t>2025-03-09</t>
  </si>
  <si>
    <t>ORD-0345</t>
  </si>
  <si>
    <t>Filing Cabinet</t>
  </si>
  <si>
    <t>ORD-0241</t>
  </si>
  <si>
    <t>2025-03-10</t>
  </si>
  <si>
    <t>Monitor Arm</t>
  </si>
  <si>
    <t>ORD-0059</t>
  </si>
  <si>
    <t>2025-03-12</t>
  </si>
  <si>
    <t>Webcam HD</t>
  </si>
  <si>
    <t>ORD-0117</t>
  </si>
  <si>
    <t>ORD-0125</t>
  </si>
  <si>
    <t>ORD-0224</t>
  </si>
  <si>
    <t>ORD-0178</t>
  </si>
  <si>
    <t>2025-03-13</t>
  </si>
  <si>
    <t>ORD-0452</t>
  </si>
  <si>
    <t>2025-03-16</t>
  </si>
  <si>
    <t>ORD-0234</t>
  </si>
  <si>
    <t>2025-03-17</t>
  </si>
  <si>
    <t>Office Chair</t>
  </si>
  <si>
    <t>ORD-0489</t>
  </si>
  <si>
    <t>ORD-0268</t>
  </si>
  <si>
    <t>2025-03-20</t>
  </si>
  <si>
    <t>ORD-0009</t>
  </si>
  <si>
    <t>2025-03-22</t>
  </si>
  <si>
    <t>ORD-0326</t>
  </si>
  <si>
    <t>ORD-0396</t>
  </si>
  <si>
    <t>ORD-0450</t>
  </si>
  <si>
    <t>ORD-0484</t>
  </si>
  <si>
    <t>ORD-0103</t>
  </si>
  <si>
    <t>2025-03-24</t>
  </si>
  <si>
    <t>ORD-0160</t>
  </si>
  <si>
    <t>ORD-0054</t>
  </si>
  <si>
    <t>2025-03-25</t>
  </si>
  <si>
    <t>ORD-0254</t>
  </si>
  <si>
    <t>ORD-0253</t>
  </si>
  <si>
    <t>2025-03-28</t>
  </si>
  <si>
    <t>ORD-0279</t>
  </si>
  <si>
    <t>ORD-0031</t>
  </si>
  <si>
    <t>2025-03-29</t>
  </si>
  <si>
    <t>ORD-0488</t>
  </si>
  <si>
    <t>ORD-0412</t>
  </si>
  <si>
    <t>2025-03-30</t>
  </si>
  <si>
    <t>ORD-0002</t>
  </si>
  <si>
    <t>2025-03-31</t>
  </si>
  <si>
    <t>ORD-0021</t>
  </si>
  <si>
    <t>2025-04-04</t>
  </si>
  <si>
    <t>ORD-0222</t>
  </si>
  <si>
    <t>ORD-0251</t>
  </si>
  <si>
    <t>ORD-0301</t>
  </si>
  <si>
    <t>Desk Lamp</t>
  </si>
  <si>
    <t>ORD-0007</t>
  </si>
  <si>
    <t>2025-04-05</t>
  </si>
  <si>
    <t>ORD-0494</t>
  </si>
  <si>
    <t>2025-04-06</t>
  </si>
  <si>
    <t>ORD-0203</t>
  </si>
  <si>
    <t>2025-04-10</t>
  </si>
  <si>
    <t>ORD-0042</t>
  </si>
  <si>
    <t>2025-04-11</t>
  </si>
  <si>
    <t>ORD-0220</t>
  </si>
  <si>
    <t>2025-04-12</t>
  </si>
  <si>
    <t>ORD-0304</t>
  </si>
  <si>
    <t>ORD-0185</t>
  </si>
  <si>
    <t>2025-04-13</t>
  </si>
  <si>
    <t>ORD-0401</t>
  </si>
  <si>
    <t>ORD-0123</t>
  </si>
  <si>
    <t>2025-04-15</t>
  </si>
  <si>
    <t>ORD-0299</t>
  </si>
  <si>
    <t>2025-04-16</t>
  </si>
  <si>
    <t>ORD-0362</t>
  </si>
  <si>
    <t>2025-04-19</t>
  </si>
  <si>
    <t>ORD-0062</t>
  </si>
  <si>
    <t>2025-04-20</t>
  </si>
  <si>
    <t>ORD-0095</t>
  </si>
  <si>
    <t>ORD-0199</t>
  </si>
  <si>
    <t>ORD-0246</t>
  </si>
  <si>
    <t>2025-04-21</t>
  </si>
  <si>
    <t>ORD-0227</t>
  </si>
  <si>
    <t>2025-04-23</t>
  </si>
  <si>
    <t>ORD-0409</t>
  </si>
  <si>
    <t>2025-04-26</t>
  </si>
  <si>
    <t>ORD-0256</t>
  </si>
  <si>
    <t>2025-04-27</t>
  </si>
  <si>
    <t>ORD-0208</t>
  </si>
  <si>
    <t>2025-04-28</t>
  </si>
  <si>
    <t>ORD-0416</t>
  </si>
  <si>
    <t>2025-05-02</t>
  </si>
  <si>
    <t>ORD-0433</t>
  </si>
  <si>
    <t>ORD-0172</t>
  </si>
  <si>
    <t>2025-05-05</t>
  </si>
  <si>
    <t>ORD-0032</t>
  </si>
  <si>
    <t>2025-05-09</t>
  </si>
  <si>
    <t>ORD-0235</t>
  </si>
  <si>
    <t>2025-05-10</t>
  </si>
  <si>
    <t>ORD-0069</t>
  </si>
  <si>
    <t>2025-05-11</t>
  </si>
  <si>
    <t>ORD-0085</t>
  </si>
  <si>
    <t>ORD-0111</t>
  </si>
  <si>
    <t>ORD-0287</t>
  </si>
  <si>
    <t>ORD-0375</t>
  </si>
  <si>
    <t>2025-05-12</t>
  </si>
  <si>
    <t>ORD-0349</t>
  </si>
  <si>
    <t>2025-05-13</t>
  </si>
  <si>
    <t>ORD-0056</t>
  </si>
  <si>
    <t>2025-05-15</t>
  </si>
  <si>
    <t>ORD-0492</t>
  </si>
  <si>
    <t>2025-05-16</t>
  </si>
  <si>
    <t>ORD-0449</t>
  </si>
  <si>
    <t>2025-05-18</t>
  </si>
  <si>
    <t>ORD-0216</t>
  </si>
  <si>
    <t>2025-05-19</t>
  </si>
  <si>
    <t>ORD-0319</t>
  </si>
  <si>
    <t>ORD-0335</t>
  </si>
  <si>
    <t>2025-05-21</t>
  </si>
  <si>
    <t>ORD-0467</t>
  </si>
  <si>
    <t>ORD-0298</t>
  </si>
  <si>
    <t>2025-05-22</t>
  </si>
  <si>
    <t>ORD-0379</t>
  </si>
  <si>
    <t>2025-05-24</t>
  </si>
  <si>
    <t>ORD-0441</t>
  </si>
  <si>
    <t>ORD-0177</t>
  </si>
  <si>
    <t>2025-05-29</t>
  </si>
  <si>
    <t>ORD-0226</t>
  </si>
  <si>
    <t>ORD-0498</t>
  </si>
  <si>
    <t>2025-05-30</t>
  </si>
  <si>
    <t>ORD-0385</t>
  </si>
  <si>
    <t>2025-06-01</t>
  </si>
  <si>
    <t>ORD-0180</t>
  </si>
  <si>
    <t>2025-06-02</t>
  </si>
  <si>
    <t>ORD-0127</t>
  </si>
  <si>
    <t>2025-06-06</t>
  </si>
  <si>
    <t>ORD-0350</t>
  </si>
  <si>
    <t>ORD-0419</t>
  </si>
  <si>
    <t>ORD-0290</t>
  </si>
  <si>
    <t>2025-06-08</t>
  </si>
  <si>
    <t>ORD-0152</t>
  </si>
  <si>
    <t>2025-06-10</t>
  </si>
  <si>
    <t>ORD-0025</t>
  </si>
  <si>
    <t>2025-06-11</t>
  </si>
  <si>
    <t>ORD-0300</t>
  </si>
  <si>
    <t>2025-06-14</t>
  </si>
  <si>
    <t>ORD-0121</t>
  </si>
  <si>
    <t>2025-06-17</t>
  </si>
  <si>
    <t>ORD-0497</t>
  </si>
  <si>
    <t>2025-06-23</t>
  </si>
  <si>
    <t>ORD-0014</t>
  </si>
  <si>
    <t>2025-06-25</t>
  </si>
  <si>
    <t>ORD-0354</t>
  </si>
  <si>
    <t>ORD-0390</t>
  </si>
  <si>
    <t>2025-06-27</t>
  </si>
  <si>
    <t>ORD-0318</t>
  </si>
  <si>
    <t>2025-06-29</t>
  </si>
  <si>
    <t>ORD-0411</t>
  </si>
  <si>
    <t>ORD-0444</t>
  </si>
  <si>
    <t>ORD-0072</t>
  </si>
  <si>
    <t>2025-07-01</t>
  </si>
  <si>
    <t>ORD-0271</t>
  </si>
  <si>
    <t>ORD-0142</t>
  </si>
  <si>
    <t>2025-07-03</t>
  </si>
  <si>
    <t>ORD-0472</t>
  </si>
  <si>
    <t>ORD-0193</t>
  </si>
  <si>
    <t>2025-07-04</t>
  </si>
  <si>
    <t>ORD-0113</t>
  </si>
  <si>
    <t>2025-07-06</t>
  </si>
  <si>
    <t>ORD-0052</t>
  </si>
  <si>
    <t>2025-07-10</t>
  </si>
  <si>
    <t>ORD-0410</t>
  </si>
  <si>
    <t>ORD-0313</t>
  </si>
  <si>
    <t>2025-07-11</t>
  </si>
  <si>
    <t>ORD-0322</t>
  </si>
  <si>
    <t>2025-07-15</t>
  </si>
  <si>
    <t>ORD-0386</t>
  </si>
  <si>
    <t>ORD-0010</t>
  </si>
  <si>
    <t>2025-07-16</t>
  </si>
  <si>
    <t>ORD-0140</t>
  </si>
  <si>
    <t>ORD-0473</t>
  </si>
  <si>
    <t>ORD-0296</t>
  </si>
  <si>
    <t>2025-07-18</t>
  </si>
  <si>
    <t>ORD-0082</t>
  </si>
  <si>
    <t>2025-07-21</t>
  </si>
  <si>
    <t>ORD-0004</t>
  </si>
  <si>
    <t>2025-07-23</t>
  </si>
  <si>
    <t>ORD-0118</t>
  </si>
  <si>
    <t>2025-07-24</t>
  </si>
  <si>
    <t>ORD-0339</t>
  </si>
  <si>
    <t>ORD-0360</t>
  </si>
  <si>
    <t>2025-07-28</t>
  </si>
  <si>
    <t>ORD-0151</t>
  </si>
  <si>
    <t>2025-08-01</t>
  </si>
  <si>
    <t>ORD-0013</t>
  </si>
  <si>
    <t>2025-08-03</t>
  </si>
  <si>
    <t>ORD-0063</t>
  </si>
  <si>
    <t>2025-08-04</t>
  </si>
  <si>
    <t>ORD-0087</t>
  </si>
  <si>
    <t>ORD-0356</t>
  </si>
  <si>
    <t>ORD-0454</t>
  </si>
  <si>
    <t>2025-08-05</t>
  </si>
  <si>
    <t>ORD-0132</t>
  </si>
  <si>
    <t>2025-08-06</t>
  </si>
  <si>
    <t>ORD-0058</t>
  </si>
  <si>
    <t>2025-08-07</t>
  </si>
  <si>
    <t>ORD-0039</t>
  </si>
  <si>
    <t>2025-08-08</t>
  </si>
  <si>
    <t>ORD-0104</t>
  </si>
  <si>
    <t>ORD-0289</t>
  </si>
  <si>
    <t>ORD-0397</t>
  </si>
  <si>
    <t>ORD-0238</t>
  </si>
  <si>
    <t>2025-08-09</t>
  </si>
  <si>
    <t>ORD-0307</t>
  </si>
  <si>
    <t>ORD-0219</t>
  </si>
  <si>
    <t>2025-08-11</t>
  </si>
  <si>
    <t>ORD-0453</t>
  </si>
  <si>
    <t>ORD-0003</t>
  </si>
  <si>
    <t>2025-08-12</t>
  </si>
  <si>
    <t>ORD-0202</t>
  </si>
  <si>
    <t>2025-08-13</t>
  </si>
  <si>
    <t>ORD-0443</t>
  </si>
  <si>
    <t>2025-08-15</t>
  </si>
  <si>
    <t>ORD-0460</t>
  </si>
  <si>
    <t>ORD-0434</t>
  </si>
  <si>
    <t>2025-08-17</t>
  </si>
  <si>
    <t>ORD-0174</t>
  </si>
  <si>
    <t>2025-08-19</t>
  </si>
  <si>
    <t>ORD-0247</t>
  </si>
  <si>
    <t>2025-08-20</t>
  </si>
  <si>
    <t>ORD-0404</t>
  </si>
  <si>
    <t>2025-08-26</t>
  </si>
  <si>
    <t>ORD-0485</t>
  </si>
  <si>
    <t>ORD-0225</t>
  </si>
  <si>
    <t>2025-08-27</t>
  </si>
  <si>
    <t>ORD-0212</t>
  </si>
  <si>
    <t>2025-08-28</t>
  </si>
  <si>
    <t>ORD-0295</t>
  </si>
  <si>
    <t>ORD-0189</t>
  </si>
  <si>
    <t>2025-08-29</t>
  </si>
  <si>
    <t>ORD-0343</t>
  </si>
  <si>
    <t>2025-08-31</t>
  </si>
  <si>
    <t>ORD-0228</t>
  </si>
  <si>
    <t>2025-09-01</t>
  </si>
  <si>
    <t>ORD-0456</t>
  </si>
  <si>
    <t>2025-09-03</t>
  </si>
  <si>
    <t>ORD-0194</t>
  </si>
  <si>
    <t>2025-09-04</t>
  </si>
  <si>
    <t>ORD-0368</t>
  </si>
  <si>
    <t>ORD-0438</t>
  </si>
  <si>
    <t>ORD-0040</t>
  </si>
  <si>
    <t>2025-09-06</t>
  </si>
  <si>
    <t>ORD-0399</t>
  </si>
  <si>
    <t>ORD-0455</t>
  </si>
  <si>
    <t>ORD-0496</t>
  </si>
  <si>
    <t>ORD-0130</t>
  </si>
  <si>
    <t>2025-09-07</t>
  </si>
  <si>
    <t>ORD-0136</t>
  </si>
  <si>
    <t>ORD-0266</t>
  </si>
  <si>
    <t>ORD-0475</t>
  </si>
  <si>
    <t>ORD-0001</t>
  </si>
  <si>
    <t>2025-09-08</t>
  </si>
  <si>
    <t>ORD-0092</t>
  </si>
  <si>
    <t>ORD-0019</t>
  </si>
  <si>
    <t>2025-09-10</t>
  </si>
  <si>
    <t>ORD-0421</t>
  </si>
  <si>
    <t>2025-09-11</t>
  </si>
  <si>
    <t>ORD-0043</t>
  </si>
  <si>
    <t>2025-09-12</t>
  </si>
  <si>
    <t>ORD-0148</t>
  </si>
  <si>
    <t>ORD-0336</t>
  </si>
  <si>
    <t>2025-09-13</t>
  </si>
  <si>
    <t>ORD-0161</t>
  </si>
  <si>
    <t>2025-09-14</t>
  </si>
  <si>
    <t>ORD-0023</t>
  </si>
  <si>
    <t>2025-09-15</t>
  </si>
  <si>
    <t>ORD-0081</t>
  </si>
  <si>
    <t>2025-09-18</t>
  </si>
  <si>
    <t>ORD-0195</t>
  </si>
  <si>
    <t>ORD-0428</t>
  </si>
  <si>
    <t>ORD-0259</t>
  </si>
  <si>
    <t>2025-09-19</t>
  </si>
  <si>
    <t>ORD-0120</t>
  </si>
  <si>
    <t>2025-09-20</t>
  </si>
  <si>
    <t>ORD-0270</t>
  </si>
  <si>
    <t>ORD-0207</t>
  </si>
  <si>
    <t>2025-09-21</t>
  </si>
  <si>
    <t>ORD-0463</t>
  </si>
  <si>
    <t>ORD-0055</t>
  </si>
  <si>
    <t>2025-09-25</t>
  </si>
  <si>
    <t>ORD-0415</t>
  </si>
  <si>
    <t>ORD-0066</t>
  </si>
  <si>
    <t>2025-09-26</t>
  </si>
  <si>
    <t>ORD-0211</t>
  </si>
  <si>
    <t>ORD-0008</t>
  </si>
  <si>
    <t>2025-09-28</t>
  </si>
  <si>
    <t>ORD-0371</t>
  </si>
  <si>
    <t>ORD-0391</t>
  </si>
  <si>
    <t>ORD-0157</t>
  </si>
  <si>
    <t>2025-09-30</t>
  </si>
  <si>
    <t>ORD-0024</t>
  </si>
  <si>
    <t>2025-10-01</t>
  </si>
  <si>
    <t>ORD-0171</t>
  </si>
  <si>
    <t>ORD-0179</t>
  </si>
  <si>
    <t>ORD-0474</t>
  </si>
  <si>
    <t>ORD-0162</t>
  </si>
  <si>
    <t>2025-10-03</t>
  </si>
  <si>
    <t>ORD-0015</t>
  </si>
  <si>
    <t>2025-10-04</t>
  </si>
  <si>
    <t>ORD-0138</t>
  </si>
  <si>
    <t>2025-10-05</t>
  </si>
  <si>
    <t>ORD-0480</t>
  </si>
  <si>
    <t>ORD-0398</t>
  </si>
  <si>
    <t>2025-10-06</t>
  </si>
  <si>
    <t>ORD-0323</t>
  </si>
  <si>
    <t>2025-10-07</t>
  </si>
  <si>
    <t>ORD-0143</t>
  </si>
  <si>
    <t>2025-10-08</t>
  </si>
  <si>
    <t>ORD-0352</t>
  </si>
  <si>
    <t>2025-10-09</t>
  </si>
  <si>
    <t>ORD-0065</t>
  </si>
  <si>
    <t>2025-10-11</t>
  </si>
  <si>
    <t>ORD-0005</t>
  </si>
  <si>
    <t>2025-10-12</t>
  </si>
  <si>
    <t>ORD-0006</t>
  </si>
  <si>
    <t>ORD-0115</t>
  </si>
  <si>
    <t>ORD-0369</t>
  </si>
  <si>
    <t>2025-10-16</t>
  </si>
  <si>
    <t>ORD-0141</t>
  </si>
  <si>
    <t>2025-10-17</t>
  </si>
  <si>
    <t>ORD-0102</t>
  </si>
  <si>
    <t>2025-10-20</t>
  </si>
  <si>
    <t>ORD-0370</t>
  </si>
  <si>
    <t>ORD-0305</t>
  </si>
  <si>
    <t>2025-10-21</t>
  </si>
  <si>
    <t>ORD-0471</t>
  </si>
  <si>
    <t>ORD-0196</t>
  </si>
  <si>
    <t>2025-10-22</t>
  </si>
  <si>
    <t>ORD-0394</t>
  </si>
  <si>
    <t>ORD-0403</t>
  </si>
  <si>
    <t>ORD-0158</t>
  </si>
  <si>
    <t>2025-10-23</t>
  </si>
  <si>
    <t>ORD-0011</t>
  </si>
  <si>
    <t>2025-10-24</t>
  </si>
  <si>
    <t>ORD-0264</t>
  </si>
  <si>
    <t>ORD-0341</t>
  </si>
  <si>
    <t>2025-10-25</t>
  </si>
  <si>
    <t>ORD-0154</t>
  </si>
  <si>
    <t>2025-10-26</t>
  </si>
  <si>
    <t>ORD-0200</t>
  </si>
  <si>
    <t>2025-10-30</t>
  </si>
  <si>
    <t>ORD-0205</t>
  </si>
  <si>
    <t>ORD-0027</t>
  </si>
  <si>
    <t>2025-11-02</t>
  </si>
  <si>
    <t>ORD-0392</t>
  </si>
  <si>
    <t>ORD-0061</t>
  </si>
  <si>
    <t>2025-11-03</t>
  </si>
  <si>
    <t>ORD-0380</t>
  </si>
  <si>
    <t>ORD-0499</t>
  </si>
  <si>
    <t>ORD-0086</t>
  </si>
  <si>
    <t>2025-11-05</t>
  </si>
  <si>
    <t>ORD-0232</t>
  </si>
  <si>
    <t>ORD-0060</t>
  </si>
  <si>
    <t>2025-11-06</t>
  </si>
  <si>
    <t>ORD-0214</t>
  </si>
  <si>
    <t>ORD-0150</t>
  </si>
  <si>
    <t>2025-11-09</t>
  </si>
  <si>
    <t>ORD-0328</t>
  </si>
  <si>
    <t>2025-11-10</t>
  </si>
  <si>
    <t>ORD-0257</t>
  </si>
  <si>
    <t>2025-11-12</t>
  </si>
  <si>
    <t>ORD-0491</t>
  </si>
  <si>
    <t>ORD-0249</t>
  </si>
  <si>
    <t>2025-11-13</t>
  </si>
  <si>
    <t>ORD-0091</t>
  </si>
  <si>
    <t>2025-11-14</t>
  </si>
  <si>
    <t>ORD-0285</t>
  </si>
  <si>
    <t>ORD-0286</t>
  </si>
  <si>
    <t>ORD-0173</t>
  </si>
  <si>
    <t>2025-11-15</t>
  </si>
  <si>
    <t>ORD-0417</t>
  </si>
  <si>
    <t>ORD-0034</t>
  </si>
  <si>
    <t>2025-11-16</t>
  </si>
  <si>
    <t>ORD-0083</t>
  </si>
  <si>
    <t>2025-11-18</t>
  </si>
  <si>
    <t>ORD-0139</t>
  </si>
  <si>
    <t>2025-11-20</t>
  </si>
  <si>
    <t>ORD-0098</t>
  </si>
  <si>
    <t>2025-11-21</t>
  </si>
  <si>
    <t>ORD-0347</t>
  </si>
  <si>
    <t>ORD-0459</t>
  </si>
  <si>
    <t>2025-11-24</t>
  </si>
  <si>
    <t>ORD-0165</t>
  </si>
  <si>
    <t>2025-11-25</t>
  </si>
  <si>
    <t>ORD-0327</t>
  </si>
  <si>
    <t>ORD-0442</t>
  </si>
  <si>
    <t>ORD-0129</t>
  </si>
  <si>
    <t>2025-11-27</t>
  </si>
  <si>
    <t>ORD-0272</t>
  </si>
  <si>
    <t>ORD-0413</t>
  </si>
  <si>
    <t>2025-11-28</t>
  </si>
  <si>
    <t>ORD-0236</t>
  </si>
  <si>
    <t>2025-11-29</t>
  </si>
  <si>
    <t>ORD-0389</t>
  </si>
  <si>
    <t>ORD-0486</t>
  </si>
  <si>
    <t>2025-12-01</t>
  </si>
  <si>
    <t>ORD-0213</t>
  </si>
  <si>
    <t>2025-12-02</t>
  </si>
  <si>
    <t>ORD-0365</t>
  </si>
  <si>
    <t>ORD-0424</t>
  </si>
  <si>
    <t>ORD-0243</t>
  </si>
  <si>
    <t>2025-12-04</t>
  </si>
  <si>
    <t>ORD-0038</t>
  </si>
  <si>
    <t>2025-12-05</t>
  </si>
  <si>
    <t>ORD-0078</t>
  </si>
  <si>
    <t>2025-12-06</t>
  </si>
  <si>
    <t>ORD-0317</t>
  </si>
  <si>
    <t>2025-12-07</t>
  </si>
  <si>
    <t>ORD-0284</t>
  </si>
  <si>
    <t>2025-12-08</t>
  </si>
  <si>
    <t>ORD-0378</t>
  </si>
  <si>
    <t>ORD-0407</t>
  </si>
  <si>
    <t>2025-12-10</t>
  </si>
  <si>
    <t>ORD-0131</t>
  </si>
  <si>
    <t>2025-12-11</t>
  </si>
  <si>
    <t>ORD-0187</t>
  </si>
  <si>
    <t>2025-12-13</t>
  </si>
  <si>
    <t>ORD-0137</t>
  </si>
  <si>
    <t>2025-12-19</t>
  </si>
  <si>
    <t>ORD-0348</t>
  </si>
  <si>
    <t>ORD-0445</t>
  </si>
  <si>
    <t>ORD-0197</t>
  </si>
  <si>
    <t>2025-12-20</t>
  </si>
  <si>
    <t>ORD-0361</t>
  </si>
  <si>
    <t>ORD-0351</t>
  </si>
  <si>
    <t>2025-12-21</t>
  </si>
  <si>
    <t>ORD-0436</t>
  </si>
  <si>
    <t>ORD-0269</t>
  </si>
  <si>
    <t>2025-12-24</t>
  </si>
  <si>
    <t>ORD-0075</t>
  </si>
  <si>
    <t>2025-12-25</t>
  </si>
  <si>
    <t>ORD-0077</t>
  </si>
  <si>
    <t>2025-12-26</t>
  </si>
  <si>
    <t>ORD-0274</t>
  </si>
  <si>
    <t>2025-12-27</t>
  </si>
  <si>
    <t>ORD-0487</t>
  </si>
  <si>
    <t>2025-12-31</t>
  </si>
  <si>
    <t>ORD-0316</t>
  </si>
  <si>
    <t>2026-01-01</t>
  </si>
  <si>
    <t>ORD-0070</t>
  </si>
  <si>
    <t>2026-01-02</t>
  </si>
  <si>
    <t>ORD-0333</t>
  </si>
  <si>
    <t>2026-01-06</t>
  </si>
  <si>
    <t>ORD-0342</t>
  </si>
  <si>
    <t>ORD-0422</t>
  </si>
  <si>
    <t>ORD-0030</t>
  </si>
  <si>
    <t>2026-01-07</t>
  </si>
  <si>
    <t>ORD-0373</t>
  </si>
  <si>
    <t>ORD-0331</t>
  </si>
  <si>
    <t>2026-01-08</t>
  </si>
  <si>
    <t>ORD-0206</t>
  </si>
  <si>
    <t>2026-01-10</t>
  </si>
  <si>
    <t>ORD-0376</t>
  </si>
  <si>
    <t>ORD-0325</t>
  </si>
  <si>
    <t>2026-01-12</t>
  </si>
  <si>
    <t>ORD-0418</t>
  </si>
  <si>
    <t>ORD-0382</t>
  </si>
  <si>
    <t>2026-01-13</t>
  </si>
  <si>
    <t>ORD-0242</t>
  </si>
  <si>
    <t>2026-01-17</t>
  </si>
  <si>
    <t>ORD-0281</t>
  </si>
  <si>
    <t>ORD-0028</t>
  </si>
  <si>
    <t>2026-01-18</t>
  </si>
  <si>
    <t>ORD-0192</t>
  </si>
  <si>
    <t>2026-01-19</t>
  </si>
  <si>
    <t>ORD-0122</t>
  </si>
  <si>
    <t>2026-01-20</t>
  </si>
  <si>
    <t>ORD-0432</t>
  </si>
  <si>
    <t>ORD-0292</t>
  </si>
  <si>
    <t>2026-01-21</t>
  </si>
  <si>
    <t>ORD-0181</t>
  </si>
  <si>
    <t>2026-01-22</t>
  </si>
  <si>
    <t>ORD-0462</t>
  </si>
  <si>
    <t>2026-01-24</t>
  </si>
  <si>
    <t>ORD-0149</t>
  </si>
  <si>
    <t>2026-01-25</t>
  </si>
  <si>
    <t>ORD-0188</t>
  </si>
  <si>
    <t>ORD-0183</t>
  </si>
  <si>
    <t>2026-01-26</t>
  </si>
  <si>
    <t>ORD-0074</t>
  </si>
  <si>
    <t>2026-01-27</t>
  </si>
  <si>
    <t>ORD-0297</t>
  </si>
  <si>
    <t>ORD-0182</t>
  </si>
  <si>
    <t>2026-01-28</t>
  </si>
  <si>
    <t>ORD-0364</t>
  </si>
  <si>
    <t>2026-01-29</t>
  </si>
  <si>
    <t>ORD-0283</t>
  </si>
  <si>
    <t>2026-01-31</t>
  </si>
  <si>
    <t>ORD-0303</t>
  </si>
  <si>
    <t>ORD-0337</t>
  </si>
  <si>
    <t>2026-02-01</t>
  </si>
  <si>
    <t>ORD-0106</t>
  </si>
  <si>
    <t>2026-02-03</t>
  </si>
  <si>
    <t>ORD-0110</t>
  </si>
  <si>
    <t>ORD-0483</t>
  </si>
  <si>
    <t>ORD-0490</t>
  </si>
  <si>
    <t>ORD-0395</t>
  </si>
  <si>
    <t>2026-02-09</t>
  </si>
  <si>
    <t>ORD-0267</t>
  </si>
  <si>
    <t>2026-02-10</t>
  </si>
  <si>
    <t>ORD-0209</t>
  </si>
  <si>
    <t>2026-02-11</t>
  </si>
  <si>
    <t>ORD-0482</t>
  </si>
  <si>
    <t>2026-02-12</t>
  </si>
  <si>
    <t>ORD-0020</t>
  </si>
  <si>
    <t>2026-02-13</t>
  </si>
  <si>
    <t>ORD-0076</t>
  </si>
  <si>
    <t>ORD-0250</t>
  </si>
  <si>
    <t>2026-02-15</t>
  </si>
  <si>
    <t>ORD-0377</t>
  </si>
  <si>
    <t>2026-02-16</t>
  </si>
  <si>
    <t>ORD-0440</t>
  </si>
  <si>
    <t>ORD-0159</t>
  </si>
  <si>
    <t>2026-02-17</t>
  </si>
  <si>
    <t>ORD-0053</t>
  </si>
  <si>
    <t>2026-02-18</t>
  </si>
  <si>
    <t>ORD-0168</t>
  </si>
  <si>
    <t>ORD-0071</t>
  </si>
  <si>
    <t>2026-02-21</t>
  </si>
  <si>
    <t>ORD-0402</t>
  </si>
  <si>
    <t>ORD-0446</t>
  </si>
  <si>
    <t>2026-02-23</t>
  </si>
  <si>
    <t>ORD-0186</t>
  </si>
  <si>
    <t>2026-02-24</t>
  </si>
  <si>
    <t>ORD-0346</t>
  </si>
  <si>
    <t>2026-02-25</t>
  </si>
  <si>
    <t>ORD-0073</t>
  </si>
  <si>
    <t>2026-02-26</t>
  </si>
  <si>
    <t>ORD-0470</t>
  </si>
  <si>
    <t>ORD-0387</t>
  </si>
  <si>
    <t>2026-02-27</t>
  </si>
  <si>
    <t>ORD-0093</t>
  </si>
  <si>
    <t>2026-03-01</t>
  </si>
  <si>
    <t>ORD-0302</t>
  </si>
  <si>
    <t>ORD-0176</t>
  </si>
  <si>
    <t>2026-03-02</t>
  </si>
  <si>
    <t>ORD-0461</t>
  </si>
  <si>
    <t>2026-03-04</t>
  </si>
  <si>
    <t>ORD-0108</t>
  </si>
  <si>
    <t>2026-03-06</t>
  </si>
  <si>
    <t>ORD-0217</t>
  </si>
  <si>
    <t>ORD-0431</t>
  </si>
  <si>
    <t>2026-03-07</t>
  </si>
  <si>
    <t>ORD-0022</t>
  </si>
  <si>
    <t>2026-03-09</t>
  </si>
  <si>
    <t>ORD-0044</t>
  </si>
  <si>
    <t>ORD-0033</t>
  </si>
  <si>
    <t>2026-03-10</t>
  </si>
  <si>
    <t>ORD-0308</t>
  </si>
  <si>
    <t>ORD-0429</t>
  </si>
  <si>
    <t>ORD-0435</t>
  </si>
  <si>
    <t>2026-03-11</t>
  </si>
  <si>
    <t>ORD-0156</t>
  </si>
  <si>
    <t>2026-03-12</t>
  </si>
  <si>
    <t>ORD-0099</t>
  </si>
  <si>
    <t>2026-03-13</t>
  </si>
  <si>
    <t>ORD-0233</t>
  </si>
  <si>
    <t>ORD-0240</t>
  </si>
  <si>
    <t>2026-03-14</t>
  </si>
  <si>
    <t>ORD-0263</t>
  </si>
  <si>
    <t>2026-03-16</t>
  </si>
  <si>
    <t>ORD-0312</t>
  </si>
  <si>
    <t>ORD-0260</t>
  </si>
  <si>
    <t>2026-03-17</t>
  </si>
  <si>
    <t>ORD-0041</t>
  </si>
  <si>
    <t>2026-03-18</t>
  </si>
  <si>
    <t>ORD-0190</t>
  </si>
  <si>
    <t>2026-03-21</t>
  </si>
  <si>
    <t>ORD-0330</t>
  </si>
  <si>
    <t>2026-03-22</t>
  </si>
  <si>
    <t>ORD-0080</t>
  </si>
  <si>
    <t>2026-03-23</t>
  </si>
  <si>
    <t>ORD-0262</t>
  </si>
  <si>
    <t>ORD-0293</t>
  </si>
  <si>
    <t>2026-03-25</t>
  </si>
  <si>
    <t>ORD-0280</t>
  </si>
  <si>
    <t>2026-03-26</t>
  </si>
  <si>
    <t>ORD-0324</t>
  </si>
  <si>
    <t>2026-03-27</t>
  </si>
  <si>
    <t>ORD-0255</t>
  </si>
  <si>
    <t>2026-03-29</t>
  </si>
  <si>
    <t>ORD-0045</t>
  </si>
  <si>
    <t>2026-03-30</t>
  </si>
  <si>
    <t>ORD-0294</t>
  </si>
  <si>
    <t>2026-03-31</t>
  </si>
  <si>
    <t>ORD-0329</t>
  </si>
  <si>
    <t>ORD-0340</t>
  </si>
  <si>
    <t>2026-04-01</t>
  </si>
  <si>
    <t>ORD-0338</t>
  </si>
  <si>
    <t>2026-04-02</t>
  </si>
  <si>
    <t>ORD-0414</t>
  </si>
  <si>
    <t>2026-04-03</t>
  </si>
  <si>
    <t>ORD-0439</t>
  </si>
  <si>
    <t>ORD-0135</t>
  </si>
  <si>
    <t>2026-04-04</t>
  </si>
  <si>
    <t>ORD-0306</t>
  </si>
  <si>
    <t>2026-04-05</t>
  </si>
  <si>
    <t>ORD-0100</t>
  </si>
  <si>
    <t>2026-04-06</t>
  </si>
  <si>
    <t>ORD-0277</t>
  </si>
  <si>
    <t>ORD-0334</t>
  </si>
  <si>
    <t>ORD-0363</t>
  </si>
  <si>
    <t>ORD-0374</t>
  </si>
  <si>
    <t>2026-04-07</t>
  </si>
  <si>
    <t>ORD-0035</t>
  </si>
  <si>
    <t>2026-04-08</t>
  </si>
  <si>
    <t>ORD-0231</t>
  </si>
  <si>
    <t>ORD-0012</t>
  </si>
  <si>
    <t>2026-04-10</t>
  </si>
  <si>
    <t>ORD-0155</t>
  </si>
  <si>
    <t>ORD-0239</t>
  </si>
  <si>
    <t>ORD-0252</t>
  </si>
  <si>
    <t>ORD-0426</t>
  </si>
  <si>
    <t>ORD-0114</t>
  </si>
  <si>
    <t>2026-04-11</t>
  </si>
  <si>
    <t>ORD-0167</t>
  </si>
  <si>
    <t>ORD-0097</t>
  </si>
  <si>
    <t>2026-04-13</t>
  </si>
  <si>
    <t>ORD-0198</t>
  </si>
  <si>
    <t>ORD-0265</t>
  </si>
  <si>
    <t>2026-04-17</t>
  </si>
  <si>
    <t>ORD-0464</t>
  </si>
  <si>
    <t>ORD-0169</t>
  </si>
  <si>
    <t>2026-04-19</t>
  </si>
  <si>
    <t>ORD-0427</t>
  </si>
  <si>
    <t>ORD-0448</t>
  </si>
  <si>
    <t>2026-04-20</t>
  </si>
  <si>
    <t>ORD-0096</t>
  </si>
  <si>
    <t>2026-04-21</t>
  </si>
  <si>
    <t>ORD-0088</t>
  </si>
  <si>
    <t>2026-04-22</t>
  </si>
  <si>
    <t>ORD-0105</t>
  </si>
  <si>
    <t>2026-04-23</t>
  </si>
  <si>
    <t>ORD-0457</t>
  </si>
  <si>
    <t>ORD-0344</t>
  </si>
  <si>
    <t>2026-04-24</t>
  </si>
  <si>
    <t>ORD-0273</t>
  </si>
  <si>
    <t>2026-04-26</t>
  </si>
  <si>
    <t>ORD-0116</t>
  </si>
  <si>
    <t>2026-04-27</t>
  </si>
  <si>
    <t>ORD-0163</t>
  </si>
  <si>
    <t>ORD-0420</t>
  </si>
  <si>
    <t>2026-04-28</t>
  </si>
  <si>
    <t>ORD-0430</t>
  </si>
  <si>
    <t>2026-04-29</t>
  </si>
  <si>
    <t>ORD-0089</t>
  </si>
  <si>
    <t>2026-04-30</t>
  </si>
  <si>
    <t>ORD-0119</t>
  </si>
  <si>
    <t>ORD-0447</t>
  </si>
  <si>
    <t>ORD-0230</t>
  </si>
  <si>
    <t>2026-05-03</t>
  </si>
  <si>
    <t>ORD-0477</t>
  </si>
  <si>
    <t>ORD-0107</t>
  </si>
  <si>
    <t>2026-05-04</t>
  </si>
  <si>
    <t>ORD-0146</t>
  </si>
  <si>
    <t>2026-05-05</t>
  </si>
  <si>
    <t>ORD-0145</t>
  </si>
  <si>
    <t>2026-05-06</t>
  </si>
  <si>
    <t>ORD-0047</t>
  </si>
  <si>
    <t>2026-05-08</t>
  </si>
  <si>
    <t>ORD-0358</t>
  </si>
  <si>
    <t>2026-05-10</t>
  </si>
  <si>
    <t>ORD-0469</t>
  </si>
  <si>
    <t>ORD-0128</t>
  </si>
  <si>
    <t>2026-05-11</t>
  </si>
  <si>
    <t>ORD-0101</t>
  </si>
  <si>
    <t>2026-05-12</t>
  </si>
  <si>
    <t>ORD-0049</t>
  </si>
  <si>
    <t>2026-05-14</t>
  </si>
  <si>
    <t>ORD-0109</t>
  </si>
  <si>
    <t>2026-05-15</t>
  </si>
  <si>
    <t>ORD-0134</t>
  </si>
  <si>
    <t>2026-05-16</t>
  </si>
  <si>
    <t>ORD-0393</t>
  </si>
  <si>
    <t>ORD-0425</t>
  </si>
  <si>
    <t>ORD-0465</t>
  </si>
  <si>
    <t>ORD-0126</t>
  </si>
  <si>
    <t>2026-05-17</t>
  </si>
  <si>
    <t>ORD-0218</t>
  </si>
  <si>
    <t>ORD-0381</t>
  </si>
  <si>
    <t>ORD-0144</t>
  </si>
  <si>
    <t>2026-05-18</t>
  </si>
  <si>
    <t>ORD-0164</t>
  </si>
  <si>
    <t>2026-05-19</t>
  </si>
  <si>
    <t>ORD-0408</t>
  </si>
  <si>
    <t>2026-05-21</t>
  </si>
  <si>
    <t>ORD-0094</t>
  </si>
  <si>
    <t>2026-05-22</t>
  </si>
  <si>
    <t>ORD-0166</t>
  </si>
  <si>
    <t>2026-05-23</t>
  </si>
  <si>
    <t>ORD-0500</t>
  </si>
  <si>
    <t>ORD-0201</t>
  </si>
  <si>
    <t>2026-05-24</t>
  </si>
  <si>
    <t>ORD-0357</t>
  </si>
  <si>
    <t>2026-05-25</t>
  </si>
  <si>
    <t>ORD-0367</t>
  </si>
  <si>
    <t>ORD-0170</t>
  </si>
  <si>
    <t>2026-05-26</t>
  </si>
  <si>
    <t>ORD-0175</t>
  </si>
  <si>
    <t>ORD-0366</t>
  </si>
  <si>
    <t>ORD-0018</t>
  </si>
  <si>
    <t>2026-05-27</t>
  </si>
  <si>
    <t>ORD-0478</t>
  </si>
  <si>
    <t>ORD-0026</t>
  </si>
  <si>
    <t>2026-05-28</t>
  </si>
  <si>
    <t>ORD-0261</t>
  </si>
  <si>
    <t>ORD-0278</t>
  </si>
  <si>
    <t>2026-05-29</t>
  </si>
  <si>
    <t>ORD-0051</t>
  </si>
  <si>
    <t>2026-05-30</t>
  </si>
  <si>
    <t>ORD-0184</t>
  </si>
  <si>
    <t>ORD-0353</t>
  </si>
  <si>
    <t>ORD-0064</t>
  </si>
  <si>
    <t>2026-06-02</t>
  </si>
  <si>
    <t>ORD-0237</t>
  </si>
  <si>
    <t>ORD-0423</t>
  </si>
  <si>
    <t>ORD-0084</t>
  </si>
  <si>
    <t>2026-06-04</t>
  </si>
  <si>
    <t>ORD-0245</t>
  </si>
  <si>
    <t>ORD-0276</t>
  </si>
  <si>
    <t>ORD-0314</t>
  </si>
  <si>
    <t>ORD-0288</t>
  </si>
  <si>
    <t>2026-06-05</t>
  </si>
  <si>
    <t>ORD-0493</t>
  </si>
  <si>
    <t>2026-06-09</t>
  </si>
  <si>
    <t>ORD-0458</t>
  </si>
  <si>
    <t>2026-06-10</t>
  </si>
  <si>
    <t>ORD-0090</t>
  </si>
  <si>
    <t>2026-06-12</t>
  </si>
  <si>
    <t>ORD-0311</t>
  </si>
  <si>
    <t>ORD-0321</t>
  </si>
  <si>
    <t>TOTALS</t>
  </si>
  <si>
    <t>Orders</t>
  </si>
  <si>
    <t>Total Revenue ($)</t>
  </si>
  <si>
    <t>Avg Order Value ($)</t>
  </si>
  <si>
    <t>TOTAL</t>
  </si>
  <si>
    <t>% of Net Revenue</t>
  </si>
  <si>
    <t>Month</t>
  </si>
  <si>
    <t>MoM Growth (%)</t>
  </si>
  <si>
    <t>Jan 2025</t>
  </si>
  <si>
    <t>—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</si>
  <si>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</si>
  <si>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</si>
  <si>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</si>
  <si>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</si>
  <si>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</si>
  <si>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</si>
  <si>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</si>
  <si>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</si>
  <si>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</si>
  <si>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</si>
  <si>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</si>
  <si>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</si>
  <si>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</si>
  <si>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</si>
  <si>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</si>
  <si>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</si>
  <si>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</si>
  <si>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 xml:space="preserve">Total Sales </t>
  </si>
  <si>
    <t>Profit</t>
  </si>
  <si>
    <t>Discount Amount</t>
  </si>
  <si>
    <t>Row Labels</t>
  </si>
  <si>
    <t>Grand Total</t>
  </si>
  <si>
    <t>Sum of Profit</t>
  </si>
  <si>
    <t>April</t>
  </si>
  <si>
    <t>Profit Margin%</t>
  </si>
  <si>
    <t xml:space="preserve">Average Selling Price </t>
  </si>
  <si>
    <t>Order Size</t>
  </si>
  <si>
    <t>Sales Range</t>
  </si>
  <si>
    <t>(blank)</t>
  </si>
  <si>
    <t xml:space="preserve">Sum of Total Sales </t>
  </si>
  <si>
    <t>Sum of Unit Price ($)</t>
  </si>
  <si>
    <t>Column Labels</t>
  </si>
  <si>
    <t>Sum of Discount Amount</t>
  </si>
  <si>
    <t>Sum of Net Revenue ($)</t>
  </si>
  <si>
    <t>Average of Discount Amount</t>
  </si>
  <si>
    <t>Average of Profit Margin%</t>
  </si>
  <si>
    <t>Sum of Revenue ($)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</si>
  <si>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</si>
  <si>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</si>
  <si>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</si>
  <si>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</si>
  <si>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</si>
  <si>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</si>
  <si>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</si>
  <si>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</si>
  <si>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</si>
  <si>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</si>
  <si>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</si>
  <si>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Performance Dashboard</t>
  </si>
  <si>
    <t xml:space="preserve">Total Profit </t>
  </si>
  <si>
    <t xml:space="preserve">Total Orders </t>
  </si>
  <si>
    <t>Average Discount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</si>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</sst>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2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[sales_500.xlsx]region sale!PivotTable1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sale'!$B$3</c:f>
              <c:strCache>
                <c:ptCount val="1"/>
                <c:pt idx="0">
                  <c:v>Sum of 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sale'!$A$4:$A$9</c:f>
              <c:strCache>
                <c:ptCount val="5"/>
                <c:pt idx="0">
                  <c:v>(blank)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'region sale'!$B$4:$B$9</c:f>
              <c:numCache>
                <c:formatCode>General</c:formatCode>
                <c:ptCount val="5"/>
                <c:pt idx="1">
                  <c:v>359520.37999999983</c:v>
                </c:pt>
                <c:pt idx="2">
                  <c:v>485969.60000000021</c:v>
                </c:pt>
                <c:pt idx="3">
                  <c:v>623245.32999999961</c:v>
                </c:pt>
                <c:pt idx="4">
                  <c:v>417595.84000000008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3-466D-A27E-C4165196068C}"/>
            </c:ext>
          </c:extLst>
        </c:ser>
        <c:ser>
          <c:idx val="1"/>
          <c:order val="1"/>
          <c:tx>
            <c:strRef>
              <c:f>'region sale'!$C$3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sale'!$A$4:$A$9</c:f>
              <c:strCache>
                <c:ptCount val="5"/>
                <c:pt idx="0">
                  <c:v>(blank)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'region sale'!$C$4:$C$9</c:f>
              <c:numCache>
                <c:formatCode>General</c:formatCode>
                <c:ptCount val="5"/>
                <c:pt idx="1">
                  <c:v>331831.92999999993</c:v>
                </c:pt>
                <c:pt idx="2">
                  <c:v>453490.29000000015</c:v>
                </c:pt>
                <c:pt idx="3">
                  <c:v>580978.06999999995</c:v>
                </c:pt>
                <c:pt idx="4">
                  <c:v>389717.22000000009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3-466D-A27E-C4165196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714927"/>
        <c:axId val="1369009455"/>
      </c:barChart>
      <c:catAx>
        <c:axId val="182871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09455"/>
        <c:crosses val="autoZero"/>
        <c:auto val="1"/>
        <c:lblAlgn val="ctr"/>
        <c:lblOffset val="100"/>
        <c:noMultiLvlLbl val="0"/>
      </c:catAx>
      <c:valAx>
        <c:axId val="13690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1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[sales_500.xlsx]Product Performance!PivotTable2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767209098862642"/>
          <c:y val="0.14997010790317877"/>
          <c:w val="0.15245406824146981"/>
          <c:h val="0.7426305045202683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Unit 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 Performance'!$A$4:$A$30</c:f>
              <c:strCache>
                <c:ptCount val="26"/>
                <c:pt idx="0">
                  <c:v>Antivirus Suite (1yr)</c:v>
                </c:pt>
                <c:pt idx="1">
                  <c:v>Bookshelf</c:v>
                </c:pt>
                <c:pt idx="2">
                  <c:v>Cable Management Kit</c:v>
                </c:pt>
                <c:pt idx="3">
                  <c:v>Cloud Backup (1yr)</c:v>
                </c:pt>
                <c:pt idx="4">
                  <c:v>Design Suite License</c:v>
                </c:pt>
                <c:pt idx="5">
                  <c:v>Desk Lamp</c:v>
                </c:pt>
                <c:pt idx="6">
                  <c:v>Ergonomic Chair</c:v>
                </c:pt>
                <c:pt idx="7">
                  <c:v>Filing Cabinet</c:v>
                </c:pt>
                <c:pt idx="8">
                  <c:v>Laptop Pro 13</c:v>
                </c:pt>
                <c:pt idx="9">
                  <c:v>Laptop Pro 15</c:v>
                </c:pt>
                <c:pt idx="10">
                  <c:v>Laptop Stand</c:v>
                </c:pt>
                <c:pt idx="11">
                  <c:v>Mechanical Keyboard</c:v>
                </c:pt>
                <c:pt idx="12">
                  <c:v>Monitor 27"</c:v>
                </c:pt>
                <c:pt idx="13">
                  <c:v>Monitor 32"</c:v>
                </c:pt>
                <c:pt idx="14">
                  <c:v>Monitor Arm</c:v>
                </c:pt>
                <c:pt idx="15">
                  <c:v>Noise Cancelling Headphones</c:v>
                </c:pt>
                <c:pt idx="16">
                  <c:v>Office Chair</c:v>
                </c:pt>
                <c:pt idx="17">
                  <c:v>Project Mgmt License</c:v>
                </c:pt>
                <c:pt idx="18">
                  <c:v>Standing Desk</c:v>
                </c:pt>
                <c:pt idx="19">
                  <c:v>USB-C Hub</c:v>
                </c:pt>
                <c:pt idx="20">
                  <c:v>VPN License (1yr)</c:v>
                </c:pt>
                <c:pt idx="21">
                  <c:v>Webcam 4K</c:v>
                </c:pt>
                <c:pt idx="22">
                  <c:v>Webcam HD</c:v>
                </c:pt>
                <c:pt idx="23">
                  <c:v>Whiteboard</c:v>
                </c:pt>
                <c:pt idx="24">
                  <c:v>Wireless Mouse</c:v>
                </c:pt>
                <c:pt idx="25">
                  <c:v>(blank)</c:v>
                </c:pt>
              </c:strCache>
            </c:strRef>
          </c:cat>
          <c:val>
            <c:numRef>
              <c:f>'Product Performance'!$B$4:$B$30</c:f>
              <c:numCache>
                <c:formatCode>General</c:formatCode>
                <c:ptCount val="26"/>
                <c:pt idx="0">
                  <c:v>1079.82</c:v>
                </c:pt>
                <c:pt idx="1">
                  <c:v>2985</c:v>
                </c:pt>
                <c:pt idx="2">
                  <c:v>279.86</c:v>
                </c:pt>
                <c:pt idx="3">
                  <c:v>2178</c:v>
                </c:pt>
                <c:pt idx="4">
                  <c:v>5681</c:v>
                </c:pt>
                <c:pt idx="5">
                  <c:v>599.85</c:v>
                </c:pt>
                <c:pt idx="6">
                  <c:v>5382</c:v>
                </c:pt>
                <c:pt idx="7">
                  <c:v>3380</c:v>
                </c:pt>
                <c:pt idx="8">
                  <c:v>23976</c:v>
                </c:pt>
                <c:pt idx="9">
                  <c:v>23382</c:v>
                </c:pt>
                <c:pt idx="10">
                  <c:v>1259.79</c:v>
                </c:pt>
                <c:pt idx="11">
                  <c:v>2069.77</c:v>
                </c:pt>
                <c:pt idx="12">
                  <c:v>9576</c:v>
                </c:pt>
                <c:pt idx="13">
                  <c:v>13178</c:v>
                </c:pt>
                <c:pt idx="14">
                  <c:v>1759.78</c:v>
                </c:pt>
                <c:pt idx="15">
                  <c:v>4233</c:v>
                </c:pt>
                <c:pt idx="16">
                  <c:v>3592</c:v>
                </c:pt>
                <c:pt idx="17">
                  <c:v>2533</c:v>
                </c:pt>
                <c:pt idx="18">
                  <c:v>12627</c:v>
                </c:pt>
                <c:pt idx="19">
                  <c:v>1249.75</c:v>
                </c:pt>
                <c:pt idx="20">
                  <c:v>1049.79</c:v>
                </c:pt>
                <c:pt idx="21">
                  <c:v>3449.7699999999986</c:v>
                </c:pt>
                <c:pt idx="22">
                  <c:v>1599.8</c:v>
                </c:pt>
                <c:pt idx="23">
                  <c:v>2193</c:v>
                </c:pt>
                <c:pt idx="24">
                  <c:v>1019.6600000000002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6-4136-937D-F48608F8AFCB}"/>
            </c:ext>
          </c:extLst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Total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'Product Performance'!$A$4:$A$30</c:f>
              <c:strCache>
                <c:ptCount val="26"/>
                <c:pt idx="0">
                  <c:v>Antivirus Suite (1yr)</c:v>
                </c:pt>
                <c:pt idx="1">
                  <c:v>Bookshelf</c:v>
                </c:pt>
                <c:pt idx="2">
                  <c:v>Cable Management Kit</c:v>
                </c:pt>
                <c:pt idx="3">
                  <c:v>Cloud Backup (1yr)</c:v>
                </c:pt>
                <c:pt idx="4">
                  <c:v>Design Suite License</c:v>
                </c:pt>
                <c:pt idx="5">
                  <c:v>Desk Lamp</c:v>
                </c:pt>
                <c:pt idx="6">
                  <c:v>Ergonomic Chair</c:v>
                </c:pt>
                <c:pt idx="7">
                  <c:v>Filing Cabinet</c:v>
                </c:pt>
                <c:pt idx="8">
                  <c:v>Laptop Pro 13</c:v>
                </c:pt>
                <c:pt idx="9">
                  <c:v>Laptop Pro 15</c:v>
                </c:pt>
                <c:pt idx="10">
                  <c:v>Laptop Stand</c:v>
                </c:pt>
                <c:pt idx="11">
                  <c:v>Mechanical Keyboard</c:v>
                </c:pt>
                <c:pt idx="12">
                  <c:v>Monitor 27"</c:v>
                </c:pt>
                <c:pt idx="13">
                  <c:v>Monitor 32"</c:v>
                </c:pt>
                <c:pt idx="14">
                  <c:v>Monitor Arm</c:v>
                </c:pt>
                <c:pt idx="15">
                  <c:v>Noise Cancelling Headphones</c:v>
                </c:pt>
                <c:pt idx="16">
                  <c:v>Office Chair</c:v>
                </c:pt>
                <c:pt idx="17">
                  <c:v>Project Mgmt License</c:v>
                </c:pt>
                <c:pt idx="18">
                  <c:v>Standing Desk</c:v>
                </c:pt>
                <c:pt idx="19">
                  <c:v>USB-C Hub</c:v>
                </c:pt>
                <c:pt idx="20">
                  <c:v>VPN License (1yr)</c:v>
                </c:pt>
                <c:pt idx="21">
                  <c:v>Webcam 4K</c:v>
                </c:pt>
                <c:pt idx="22">
                  <c:v>Webcam HD</c:v>
                </c:pt>
                <c:pt idx="23">
                  <c:v>Whiteboard</c:v>
                </c:pt>
                <c:pt idx="24">
                  <c:v>Wireless Mouse</c:v>
                </c:pt>
                <c:pt idx="25">
                  <c:v>(blank)</c:v>
                </c:pt>
              </c:strCache>
            </c:strRef>
          </c:cat>
          <c:val>
            <c:numRef>
              <c:f>'Product Performance'!$C$4:$C$30</c:f>
              <c:numCache>
                <c:formatCode>General</c:formatCode>
                <c:ptCount val="26"/>
                <c:pt idx="0">
                  <c:v>16257.289999999999</c:v>
                </c:pt>
                <c:pt idx="1">
                  <c:v>37810</c:v>
                </c:pt>
                <c:pt idx="2">
                  <c:v>4677.6599999999989</c:v>
                </c:pt>
                <c:pt idx="3">
                  <c:v>37620</c:v>
                </c:pt>
                <c:pt idx="4">
                  <c:v>93886</c:v>
                </c:pt>
                <c:pt idx="5">
                  <c:v>8757.81</c:v>
                </c:pt>
                <c:pt idx="6">
                  <c:v>81029</c:v>
                </c:pt>
                <c:pt idx="7">
                  <c:v>54756</c:v>
                </c:pt>
                <c:pt idx="8">
                  <c:v>308691</c:v>
                </c:pt>
                <c:pt idx="9">
                  <c:v>311760</c:v>
                </c:pt>
                <c:pt idx="10">
                  <c:v>19796.7</c:v>
                </c:pt>
                <c:pt idx="11">
                  <c:v>35906.01</c:v>
                </c:pt>
                <c:pt idx="12">
                  <c:v>169974</c:v>
                </c:pt>
                <c:pt idx="13">
                  <c:v>164126</c:v>
                </c:pt>
                <c:pt idx="14">
                  <c:v>27676.54</c:v>
                </c:pt>
                <c:pt idx="15">
                  <c:v>75696</c:v>
                </c:pt>
                <c:pt idx="16">
                  <c:v>51635</c:v>
                </c:pt>
                <c:pt idx="17">
                  <c:v>38591</c:v>
                </c:pt>
                <c:pt idx="18">
                  <c:v>194895</c:v>
                </c:pt>
                <c:pt idx="19">
                  <c:v>20345.930000000004</c:v>
                </c:pt>
                <c:pt idx="20">
                  <c:v>15046.989999999996</c:v>
                </c:pt>
                <c:pt idx="21">
                  <c:v>53096.460000000006</c:v>
                </c:pt>
                <c:pt idx="22">
                  <c:v>23917.009999999991</c:v>
                </c:pt>
                <c:pt idx="23">
                  <c:v>24639</c:v>
                </c:pt>
                <c:pt idx="24">
                  <c:v>15744.75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6-4136-937D-F48608F8AFCB}"/>
            </c:ext>
          </c:extLst>
        </c:ser>
        <c:ser>
          <c:idx val="2"/>
          <c:order val="2"/>
          <c:tx>
            <c:strRef>
              <c:f>'Product Performance'!$D$3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'Product Performance'!$A$4:$A$30</c:f>
              <c:strCache>
                <c:ptCount val="26"/>
                <c:pt idx="0">
                  <c:v>Antivirus Suite (1yr)</c:v>
                </c:pt>
                <c:pt idx="1">
                  <c:v>Bookshelf</c:v>
                </c:pt>
                <c:pt idx="2">
                  <c:v>Cable Management Kit</c:v>
                </c:pt>
                <c:pt idx="3">
                  <c:v>Cloud Backup (1yr)</c:v>
                </c:pt>
                <c:pt idx="4">
                  <c:v>Design Suite License</c:v>
                </c:pt>
                <c:pt idx="5">
                  <c:v>Desk Lamp</c:v>
                </c:pt>
                <c:pt idx="6">
                  <c:v>Ergonomic Chair</c:v>
                </c:pt>
                <c:pt idx="7">
                  <c:v>Filing Cabinet</c:v>
                </c:pt>
                <c:pt idx="8">
                  <c:v>Laptop Pro 13</c:v>
                </c:pt>
                <c:pt idx="9">
                  <c:v>Laptop Pro 15</c:v>
                </c:pt>
                <c:pt idx="10">
                  <c:v>Laptop Stand</c:v>
                </c:pt>
                <c:pt idx="11">
                  <c:v>Mechanical Keyboard</c:v>
                </c:pt>
                <c:pt idx="12">
                  <c:v>Monitor 27"</c:v>
                </c:pt>
                <c:pt idx="13">
                  <c:v>Monitor 32"</c:v>
                </c:pt>
                <c:pt idx="14">
                  <c:v>Monitor Arm</c:v>
                </c:pt>
                <c:pt idx="15">
                  <c:v>Noise Cancelling Headphones</c:v>
                </c:pt>
                <c:pt idx="16">
                  <c:v>Office Chair</c:v>
                </c:pt>
                <c:pt idx="17">
                  <c:v>Project Mgmt License</c:v>
                </c:pt>
                <c:pt idx="18">
                  <c:v>Standing Desk</c:v>
                </c:pt>
                <c:pt idx="19">
                  <c:v>USB-C Hub</c:v>
                </c:pt>
                <c:pt idx="20">
                  <c:v>VPN License (1yr)</c:v>
                </c:pt>
                <c:pt idx="21">
                  <c:v>Webcam 4K</c:v>
                </c:pt>
                <c:pt idx="22">
                  <c:v>Webcam HD</c:v>
                </c:pt>
                <c:pt idx="23">
                  <c:v>Whiteboard</c:v>
                </c:pt>
                <c:pt idx="24">
                  <c:v>Wireless Mouse</c:v>
                </c:pt>
                <c:pt idx="25">
                  <c:v>(blank)</c:v>
                </c:pt>
              </c:strCache>
            </c:strRef>
          </c:cat>
          <c:val>
            <c:numRef>
              <c:f>'Product Performance'!$D$4:$D$30</c:f>
              <c:numCache>
                <c:formatCode>General</c:formatCode>
                <c:ptCount val="26"/>
                <c:pt idx="0">
                  <c:v>15177.469999999996</c:v>
                </c:pt>
                <c:pt idx="1">
                  <c:v>34825</c:v>
                </c:pt>
                <c:pt idx="2">
                  <c:v>4397.8</c:v>
                </c:pt>
                <c:pt idx="3">
                  <c:v>35442</c:v>
                </c:pt>
                <c:pt idx="4">
                  <c:v>88205</c:v>
                </c:pt>
                <c:pt idx="5">
                  <c:v>8157.96</c:v>
                </c:pt>
                <c:pt idx="6">
                  <c:v>75647</c:v>
                </c:pt>
                <c:pt idx="7">
                  <c:v>51376</c:v>
                </c:pt>
                <c:pt idx="8">
                  <c:v>284715</c:v>
                </c:pt>
                <c:pt idx="9">
                  <c:v>288378</c:v>
                </c:pt>
                <c:pt idx="10">
                  <c:v>18536.91</c:v>
                </c:pt>
                <c:pt idx="11">
                  <c:v>33836.240000000005</c:v>
                </c:pt>
                <c:pt idx="12">
                  <c:v>160398</c:v>
                </c:pt>
                <c:pt idx="13">
                  <c:v>150948</c:v>
                </c:pt>
                <c:pt idx="14">
                  <c:v>25916.76</c:v>
                </c:pt>
                <c:pt idx="15">
                  <c:v>71463</c:v>
                </c:pt>
                <c:pt idx="16">
                  <c:v>48043</c:v>
                </c:pt>
                <c:pt idx="17">
                  <c:v>36058</c:v>
                </c:pt>
                <c:pt idx="18">
                  <c:v>182268</c:v>
                </c:pt>
                <c:pt idx="19">
                  <c:v>19096.18</c:v>
                </c:pt>
                <c:pt idx="20">
                  <c:v>13997.199999999999</c:v>
                </c:pt>
                <c:pt idx="21">
                  <c:v>49646.69</c:v>
                </c:pt>
                <c:pt idx="22">
                  <c:v>22317.21</c:v>
                </c:pt>
                <c:pt idx="23">
                  <c:v>22446</c:v>
                </c:pt>
                <c:pt idx="24">
                  <c:v>14725.090000000002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6-4136-937D-F48608F8A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7960591"/>
        <c:axId val="1368993615"/>
        <c:axId val="0"/>
      </c:bar3DChart>
      <c:catAx>
        <c:axId val="192796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993615"/>
        <c:crosses val="autoZero"/>
        <c:auto val="1"/>
        <c:lblAlgn val="ctr"/>
        <c:lblOffset val="100"/>
        <c:noMultiLvlLbl val="0"/>
      </c:catAx>
      <c:valAx>
        <c:axId val="136899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96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[sales_500.xlsx]Region VS Category!PivotTable3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 VS Category'!$B$3:$B$4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Category'!$B$5:$B$10</c:f>
              <c:numCache>
                <c:formatCode>General</c:formatCode>
                <c:ptCount val="5"/>
                <c:pt idx="0">
                  <c:v>19696.46</c:v>
                </c:pt>
                <c:pt idx="1">
                  <c:v>48171.700000000012</c:v>
                </c:pt>
                <c:pt idx="2">
                  <c:v>34213.629999999997</c:v>
                </c:pt>
                <c:pt idx="3">
                  <c:v>22065.8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9-4351-8911-BDEF6E499F90}"/>
            </c:ext>
          </c:extLst>
        </c:ser>
        <c:ser>
          <c:idx val="1"/>
          <c:order val="1"/>
          <c:tx>
            <c:strRef>
              <c:f>'Region VS Category'!$C$3:$C$4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Category'!$C$5:$C$10</c:f>
              <c:numCache>
                <c:formatCode>General</c:formatCode>
                <c:ptCount val="5"/>
                <c:pt idx="0">
                  <c:v>251926.57000000004</c:v>
                </c:pt>
                <c:pt idx="1">
                  <c:v>349477.50999999995</c:v>
                </c:pt>
                <c:pt idx="2">
                  <c:v>275212.08</c:v>
                </c:pt>
                <c:pt idx="3">
                  <c:v>230644.31000000003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9-4351-8911-BDEF6E499F90}"/>
            </c:ext>
          </c:extLst>
        </c:ser>
        <c:ser>
          <c:idx val="2"/>
          <c:order val="2"/>
          <c:tx>
            <c:strRef>
              <c:f>'Region VS Category'!$D$3:$D$4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Category'!$D$5:$D$10</c:f>
              <c:numCache>
                <c:formatCode>General</c:formatCode>
                <c:ptCount val="5"/>
                <c:pt idx="0">
                  <c:v>101491.45</c:v>
                </c:pt>
                <c:pt idx="1">
                  <c:v>159406.49</c:v>
                </c:pt>
                <c:pt idx="2">
                  <c:v>112713.33</c:v>
                </c:pt>
                <c:pt idx="3">
                  <c:v>79910.539999999994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9-4351-8911-BDEF6E499F90}"/>
            </c:ext>
          </c:extLst>
        </c:ser>
        <c:ser>
          <c:idx val="3"/>
          <c:order val="3"/>
          <c:tx>
            <c:strRef>
              <c:f>'Region VS Category'!$E$3:$E$4</c:f>
              <c:strCache>
                <c:ptCount val="1"/>
                <c:pt idx="0">
                  <c:v>Software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Category'!$E$5:$E$10</c:f>
              <c:numCache>
                <c:formatCode>General</c:formatCode>
                <c:ptCount val="5"/>
                <c:pt idx="0">
                  <c:v>44481.36</c:v>
                </c:pt>
                <c:pt idx="1">
                  <c:v>66189.63</c:v>
                </c:pt>
                <c:pt idx="2">
                  <c:v>63830.560000000005</c:v>
                </c:pt>
                <c:pt idx="3">
                  <c:v>26899.73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9-4351-8911-BDEF6E499F90}"/>
            </c:ext>
          </c:extLst>
        </c:ser>
        <c:ser>
          <c:idx val="4"/>
          <c:order val="4"/>
          <c:tx>
            <c:strRef>
              <c:f>'Region VS Category'!$F$3:$F$4</c:f>
              <c:strCache>
                <c:ptCount val="1"/>
                <c:pt idx="0">
                  <c:v>TOTALS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Category'!$F$5:$F$10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EF79-4351-8911-BDEF6E499F90}"/>
            </c:ext>
          </c:extLst>
        </c:ser>
        <c:ser>
          <c:idx val="5"/>
          <c:order val="5"/>
          <c:tx>
            <c:strRef>
              <c:f>'Region VS Category'!$G$3:$G$4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'Region VS Category'!$A$5:$A$10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VS Category'!$G$5:$G$10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EF79-4351-8911-BDEF6E49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7935999"/>
        <c:axId val="1369007535"/>
      </c:barChart>
      <c:catAx>
        <c:axId val="19279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07535"/>
        <c:crosses val="autoZero"/>
        <c:auto val="1"/>
        <c:lblAlgn val="ctr"/>
        <c:lblOffset val="100"/>
        <c:noMultiLvlLbl val="0"/>
      </c:catAx>
      <c:valAx>
        <c:axId val="136900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93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[sales_500.xlsx]Discount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analysis'!$B$3</c:f>
              <c:strCache>
                <c:ptCount val="1"/>
                <c:pt idx="0">
                  <c:v>Average of Discount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'Discount analysis'!$B$4:$B$10</c:f>
              <c:numCache>
                <c:formatCode>General</c:formatCode>
                <c:ptCount val="6"/>
                <c:pt idx="0">
                  <c:v>-784.01587194244632</c:v>
                </c:pt>
                <c:pt idx="1">
                  <c:v>-6461.4917716216232</c:v>
                </c:pt>
                <c:pt idx="2">
                  <c:v>-3389.3635336206903</c:v>
                </c:pt>
                <c:pt idx="3">
                  <c:v>-1814.9257113402068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1-4CBC-9B2C-2013115BAC27}"/>
            </c:ext>
          </c:extLst>
        </c:ser>
        <c:ser>
          <c:idx val="1"/>
          <c:order val="1"/>
          <c:tx>
            <c:strRef>
              <c:f>'Discount analysis'!$C$3</c:f>
              <c:strCache>
                <c:ptCount val="1"/>
                <c:pt idx="0">
                  <c:v>Sum of Net Revenue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analysis'!$A$4:$A$10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'Discount analysis'!$C$4:$C$10</c:f>
              <c:numCache>
                <c:formatCode>General</c:formatCode>
                <c:ptCount val="6"/>
                <c:pt idx="0">
                  <c:v>116616.81619999993</c:v>
                </c:pt>
                <c:pt idx="1">
                  <c:v>1035695.3522000002</c:v>
                </c:pt>
                <c:pt idx="2">
                  <c:v>423925.01990000013</c:v>
                </c:pt>
                <c:pt idx="3">
                  <c:v>188569.40400000001</c:v>
                </c:pt>
                <c:pt idx="4">
                  <c:v>1764806.5923000006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1-4CBC-9B2C-2013115BAC27}"/>
            </c:ext>
          </c:extLst>
        </c:ser>
        <c:ser>
          <c:idx val="2"/>
          <c:order val="2"/>
          <c:tx>
            <c:strRef>
              <c:f>'Discount analysis'!$D$3</c:f>
              <c:strCache>
                <c:ptCount val="1"/>
                <c:pt idx="0">
                  <c:v>Sum of Discount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analysis'!$A$4:$A$10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'Discount analysis'!$D$4:$D$10</c:f>
              <c:numCache>
                <c:formatCode>General</c:formatCode>
                <c:ptCount val="6"/>
                <c:pt idx="0">
                  <c:v>-108978.20620000004</c:v>
                </c:pt>
                <c:pt idx="1">
                  <c:v>-956300.78220000025</c:v>
                </c:pt>
                <c:pt idx="2">
                  <c:v>-393166.1699000001</c:v>
                </c:pt>
                <c:pt idx="3">
                  <c:v>-176047.79400000005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1-4CBC-9B2C-2013115BA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01023"/>
        <c:axId val="1369006575"/>
      </c:barChart>
      <c:catAx>
        <c:axId val="172790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06575"/>
        <c:crosses val="autoZero"/>
        <c:auto val="1"/>
        <c:lblAlgn val="ctr"/>
        <c:lblOffset val="100"/>
        <c:noMultiLvlLbl val="0"/>
      </c:catAx>
      <c:valAx>
        <c:axId val="13690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0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[sales_500.xlsx]Profit margin analysis 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'Profit margin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'Profit margin analysis 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'Profit margin analysis '!$B$4:$B$10</c:f>
              <c:numCache>
                <c:formatCode>General</c:formatCode>
                <c:ptCount val="6"/>
                <c:pt idx="0">
                  <c:v>0.94503866310070261</c:v>
                </c:pt>
                <c:pt idx="1">
                  <c:v>0.9205690530608035</c:v>
                </c:pt>
                <c:pt idx="2">
                  <c:v>0.91430775742341897</c:v>
                </c:pt>
                <c:pt idx="3">
                  <c:v>0.91442625056970117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2-43B0-B1E2-351EDCC95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4428479"/>
        <c:axId val="1369015215"/>
        <c:axId val="0"/>
      </c:bar3DChart>
      <c:catAx>
        <c:axId val="198442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15215"/>
        <c:crosses val="autoZero"/>
        <c:auto val="1"/>
        <c:lblAlgn val="ctr"/>
        <c:lblOffset val="100"/>
        <c:noMultiLvlLbl val="0"/>
      </c:catAx>
      <c:valAx>
        <c:axId val="13690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2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[sales_500.xlsx]Sales Rep Performance!PivotTable6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Sum of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Rep Performance'!$A$4:$A$15</c:f>
              <c:strCache>
                <c:ptCount val="11"/>
                <c:pt idx="0">
                  <c:v>Alice Johnson</c:v>
                </c:pt>
                <c:pt idx="1">
                  <c:v>Bob Smith</c:v>
                </c:pt>
                <c:pt idx="2">
                  <c:v>Carol Lee</c:v>
                </c:pt>
                <c:pt idx="3">
                  <c:v>David Kim</c:v>
                </c:pt>
                <c:pt idx="4">
                  <c:v>Eve Torres</c:v>
                </c:pt>
                <c:pt idx="5">
                  <c:v>Frank Ng</c:v>
                </c:pt>
                <c:pt idx="6">
                  <c:v>Grace Park</c:v>
                </c:pt>
                <c:pt idx="7">
                  <c:v>Henry Wu</c:v>
                </c:pt>
                <c:pt idx="8">
                  <c:v>Iris Patel</c:v>
                </c:pt>
                <c:pt idx="9">
                  <c:v>James Rivera</c:v>
                </c:pt>
                <c:pt idx="10">
                  <c:v>(blank)</c:v>
                </c:pt>
              </c:strCache>
            </c:strRef>
          </c:cat>
          <c:val>
            <c:numRef>
              <c:f>'Sales Rep Performance'!$B$4:$B$15</c:f>
              <c:numCache>
                <c:formatCode>General</c:formatCode>
                <c:ptCount val="11"/>
                <c:pt idx="0">
                  <c:v>116662.99</c:v>
                </c:pt>
                <c:pt idx="1">
                  <c:v>209940.38000000003</c:v>
                </c:pt>
                <c:pt idx="2">
                  <c:v>175764.58000000002</c:v>
                </c:pt>
                <c:pt idx="3">
                  <c:v>133266.85000000003</c:v>
                </c:pt>
                <c:pt idx="4">
                  <c:v>145432.34</c:v>
                </c:pt>
                <c:pt idx="5">
                  <c:v>226253.53000000006</c:v>
                </c:pt>
                <c:pt idx="6">
                  <c:v>195846.64</c:v>
                </c:pt>
                <c:pt idx="7">
                  <c:v>241831.26000000004</c:v>
                </c:pt>
                <c:pt idx="8">
                  <c:v>310735.69999999995</c:v>
                </c:pt>
                <c:pt idx="9">
                  <c:v>130596.87999999999</c:v>
                </c:pt>
                <c:pt idx="10">
                  <c:v>1886331.149999999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2-46D5-9A6E-CC6334085459}"/>
            </c:ext>
          </c:extLst>
        </c:ser>
        <c:ser>
          <c:idx val="1"/>
          <c:order val="1"/>
          <c:tx>
            <c:strRef>
              <c:f>'Sales Rep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'Sales Rep Performance'!$A$4:$A$15</c:f>
              <c:strCache>
                <c:ptCount val="11"/>
                <c:pt idx="0">
                  <c:v>Alice Johnson</c:v>
                </c:pt>
                <c:pt idx="1">
                  <c:v>Bob Smith</c:v>
                </c:pt>
                <c:pt idx="2">
                  <c:v>Carol Lee</c:v>
                </c:pt>
                <c:pt idx="3">
                  <c:v>David Kim</c:v>
                </c:pt>
                <c:pt idx="4">
                  <c:v>Eve Torres</c:v>
                </c:pt>
                <c:pt idx="5">
                  <c:v>Frank Ng</c:v>
                </c:pt>
                <c:pt idx="6">
                  <c:v>Grace Park</c:v>
                </c:pt>
                <c:pt idx="7">
                  <c:v>Henry Wu</c:v>
                </c:pt>
                <c:pt idx="8">
                  <c:v>Iris Patel</c:v>
                </c:pt>
                <c:pt idx="9">
                  <c:v>James Rivera</c:v>
                </c:pt>
                <c:pt idx="10">
                  <c:v>(blank)</c:v>
                </c:pt>
              </c:strCache>
            </c:strRef>
          </c:cat>
          <c:val>
            <c:numRef>
              <c:f>'Sales Rep Performance'!$C$4:$C$15</c:f>
              <c:numCache>
                <c:formatCode>General</c:formatCode>
                <c:ptCount val="11"/>
                <c:pt idx="0">
                  <c:v>108104.18000000001</c:v>
                </c:pt>
                <c:pt idx="1">
                  <c:v>197132.60000000003</c:v>
                </c:pt>
                <c:pt idx="2">
                  <c:v>161975.72999999998</c:v>
                </c:pt>
                <c:pt idx="3">
                  <c:v>123548.12999999998</c:v>
                </c:pt>
                <c:pt idx="4">
                  <c:v>134698.59</c:v>
                </c:pt>
                <c:pt idx="5">
                  <c:v>208283.8</c:v>
                </c:pt>
                <c:pt idx="6">
                  <c:v>181104.91</c:v>
                </c:pt>
                <c:pt idx="7">
                  <c:v>227741.48999999996</c:v>
                </c:pt>
                <c:pt idx="8">
                  <c:v>291768.98</c:v>
                </c:pt>
                <c:pt idx="9">
                  <c:v>121659.09999999998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2-46D5-9A6E-CC633408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6531743"/>
        <c:axId val="1369014735"/>
        <c:axId val="0"/>
      </c:bar3DChart>
      <c:catAx>
        <c:axId val="181653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14735"/>
        <c:crosses val="autoZero"/>
        <c:auto val="1"/>
        <c:lblAlgn val="ctr"/>
        <c:lblOffset val="100"/>
        <c:noMultiLvlLbl val="0"/>
      </c:catAx>
      <c:valAx>
        <c:axId val="136901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3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[sales_500.xlsx]Monthly Sales Trends!PivotTable7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Trends'!$A$4:$A$17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'Monthly Sales Trends'!$B$4:$B$17</c:f>
              <c:numCache>
                <c:formatCode>General</c:formatCode>
                <c:ptCount val="13"/>
                <c:pt idx="0">
                  <c:v>214761.80999999997</c:v>
                </c:pt>
                <c:pt idx="1">
                  <c:v>263934.02</c:v>
                </c:pt>
                <c:pt idx="2">
                  <c:v>252722.37</c:v>
                </c:pt>
                <c:pt idx="3">
                  <c:v>209834.32</c:v>
                </c:pt>
                <c:pt idx="4">
                  <c:v>212708.48000000004</c:v>
                </c:pt>
                <c:pt idx="5">
                  <c:v>103963.65</c:v>
                </c:pt>
                <c:pt idx="6">
                  <c:v>89627.13</c:v>
                </c:pt>
                <c:pt idx="7">
                  <c:v>104231.25000000001</c:v>
                </c:pt>
                <c:pt idx="8">
                  <c:v>140666.32</c:v>
                </c:pt>
                <c:pt idx="9">
                  <c:v>107272.20999999999</c:v>
                </c:pt>
                <c:pt idx="10">
                  <c:v>108247.28</c:v>
                </c:pt>
                <c:pt idx="11">
                  <c:v>78362.31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F-4241-8EC4-5A73470E6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426783"/>
        <c:axId val="1714478095"/>
      </c:lineChart>
      <c:catAx>
        <c:axId val="198742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78095"/>
        <c:crosses val="autoZero"/>
        <c:auto val="1"/>
        <c:lblAlgn val="ctr"/>
        <c:lblOffset val="100"/>
        <c:noMultiLvlLbl val="0"/>
      </c:catAx>
      <c:valAx>
        <c:axId val="17144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[sales_500.xlsx]Category Performance!PivotTable8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Sum of 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Performance'!$A$4:$A$10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'Category Performance'!$B$4:$B$10</c:f>
              <c:numCache>
                <c:formatCode>General</c:formatCode>
                <c:ptCount val="6"/>
                <c:pt idx="0">
                  <c:v>124147.59000000007</c:v>
                </c:pt>
                <c:pt idx="1">
                  <c:v>1107260.4699999997</c:v>
                </c:pt>
                <c:pt idx="2">
                  <c:v>453521.81000000006</c:v>
                </c:pt>
                <c:pt idx="3">
                  <c:v>201401.27999999997</c:v>
                </c:pt>
                <c:pt idx="4">
                  <c:v>1886331.149999999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B-4520-A55A-6E5806DF8408}"/>
            </c:ext>
          </c:extLst>
        </c:ser>
        <c:ser>
          <c:idx val="1"/>
          <c:order val="1"/>
          <c:tx>
            <c:strRef>
              <c:f>'Category Performance'!$C$3</c:f>
              <c:strCache>
                <c:ptCount val="1"/>
                <c:pt idx="0">
                  <c:v>Sum of Net Revenue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Performance'!$A$4:$A$10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'Category Performance'!$C$4:$C$10</c:f>
              <c:numCache>
                <c:formatCode>General</c:formatCode>
                <c:ptCount val="6"/>
                <c:pt idx="0">
                  <c:v>116616.81619999993</c:v>
                </c:pt>
                <c:pt idx="1">
                  <c:v>1035695.3522000002</c:v>
                </c:pt>
                <c:pt idx="2">
                  <c:v>423925.01990000013</c:v>
                </c:pt>
                <c:pt idx="3">
                  <c:v>188569.40400000001</c:v>
                </c:pt>
                <c:pt idx="4">
                  <c:v>1764806.5923000006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B-4520-A55A-6E5806DF8408}"/>
            </c:ext>
          </c:extLst>
        </c:ser>
        <c:ser>
          <c:idx val="2"/>
          <c:order val="2"/>
          <c:tx>
            <c:strRef>
              <c:f>'Category Performance'!$D$3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Performance'!$A$4:$A$10</c:f>
              <c:strCache>
                <c:ptCount val="6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Software</c:v>
                </c:pt>
                <c:pt idx="4">
                  <c:v>TOTALS</c:v>
                </c:pt>
                <c:pt idx="5">
                  <c:v>(blank)</c:v>
                </c:pt>
              </c:strCache>
            </c:strRef>
          </c:cat>
          <c:val>
            <c:numRef>
              <c:f>'Category Performance'!$D$4:$D$10</c:f>
              <c:numCache>
                <c:formatCode>General</c:formatCode>
                <c:ptCount val="6"/>
                <c:pt idx="0">
                  <c:v>116508.97999999994</c:v>
                </c:pt>
                <c:pt idx="1">
                  <c:v>1027865.8999999998</c:v>
                </c:pt>
                <c:pt idx="2">
                  <c:v>422762.96</c:v>
                </c:pt>
                <c:pt idx="3">
                  <c:v>188879.67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B-4520-A55A-6E5806DF8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410543"/>
        <c:axId val="1714488655"/>
      </c:barChart>
      <c:catAx>
        <c:axId val="19874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88655"/>
        <c:crosses val="autoZero"/>
        <c:auto val="1"/>
        <c:lblAlgn val="ctr"/>
        <c:lblOffset val="100"/>
        <c:noMultiLvlLbl val="0"/>
      </c:catAx>
      <c:valAx>
        <c:axId val="171448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1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1</xdr:row>
      <xdr:rowOff>179070</xdr:rowOff>
    </xdr:from>
    <xdr:to>
      <xdr:col>13</xdr:col>
      <xdr:colOff>411480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D25E3-DB72-7363-0FE3-803397FA8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3</xdr:row>
      <xdr:rowOff>19050</xdr:rowOff>
    </xdr:from>
    <xdr:to>
      <xdr:col>12</xdr:col>
      <xdr:colOff>502920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9F4D7-EAFF-B3D1-BD21-0A16C968D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1059180</xdr:colOff>
      <xdr:row>11</xdr:row>
      <xdr:rowOff>34290</xdr:rowOff>
    </xdr:from>
    <xdr:to>
      <xdr:col>7</xdr:col>
      <xdr:colOff>289560</xdr:colOff>
      <xdr:row>26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A55A5-90A0-E58A-ADC7-9E0337380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2</xdr:row>
      <xdr:rowOff>3810</xdr:rowOff>
    </xdr:from>
    <xdr:to>
      <xdr:col>11</xdr:col>
      <xdr:colOff>487680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2B530-85EF-C756-A724-F0674C488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2</xdr:row>
      <xdr:rowOff>19050</xdr:rowOff>
    </xdr:from>
    <xdr:to>
      <xdr:col>12</xdr:col>
      <xdr:colOff>388620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760F6-8BD4-82DB-9536-F2F1ECB9A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175260</xdr:rowOff>
    </xdr:from>
    <xdr:to>
      <xdr:col>13</xdr:col>
      <xdr:colOff>449580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F8EED-824B-BC6B-A366-05C1EE041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2</xdr:row>
      <xdr:rowOff>7620</xdr:rowOff>
    </xdr:from>
    <xdr:to>
      <xdr:col>16</xdr:col>
      <xdr:colOff>53340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A3B63-C0A9-EB9B-7B6D-99B348222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</xdr:row>
      <xdr:rowOff>179070</xdr:rowOff>
    </xdr:from>
    <xdr:to>
      <xdr:col>16</xdr:col>
      <xdr:colOff>563880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7DF46-C616-F92E-B905-82FD5DBEB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tha" refreshedDate="46209.540888194446" createdVersion="8" refreshedVersion="8" minRefreshableVersion="3" recordCount="501" xr:uid="{72C70930-C8D2-4C3E-AF7D-6FB5A1EF5E65}">
  <cacheSource type="worksheet">
    <worksheetSource ref="A1:T502" sheet="Sales Transactions"/>
  </cacheSource>
  <cacheFields count="20">
    <cacheField name="Order ID" numFmtId="0">
      <sharedItems containsBlank="1"/>
    </cacheField>
    <cacheField name="Date" numFmtId="0">
      <sharedItems containsBlank="1"/>
    </cacheField>
    <cacheField name="Sales Rep" numFmtId="0">
      <sharedItems containsBlank="1"/>
    </cacheField>
    <cacheField name="Region" numFmtId="0">
      <sharedItems containsBlank="1" count="5">
        <s v="East"/>
        <s v="North"/>
        <s v="West"/>
        <s v="South"/>
        <m/>
      </sharedItems>
    </cacheField>
    <cacheField name="Product" numFmtId="0">
      <sharedItems containsBlank="1"/>
    </cacheField>
    <cacheField name="Category" numFmtId="0">
      <sharedItems/>
    </cacheField>
    <cacheField name="Units" numFmtId="0">
      <sharedItems containsSemiMixedTypes="0" containsString="0" containsNumber="1" containsInteger="1" minValue="1" maxValue="7637"/>
    </cacheField>
    <cacheField name="Unit Price ($)" numFmtId="0">
      <sharedItems containsString="0" containsBlank="1" containsNumber="1" minValue="19.989999999999998" maxValue="1299"/>
    </cacheField>
    <cacheField name="Revenue ($)" numFmtId="164">
      <sharedItems containsSemiMixedTypes="0" containsString="0" containsNumber="1" minValue="29.99" maxValue="1886331.149999999"/>
    </cacheField>
    <cacheField name="Discount (%)" numFmtId="0">
      <sharedItems containsString="0" containsBlank="1" containsNumber="1" containsInteger="1" minValue="0" maxValue="15"/>
    </cacheField>
    <cacheField name="Net Revenue ($)" numFmtId="164">
      <sharedItems containsSemiMixedTypes="0" containsString="0" containsNumber="1" minValue="27.590799999999998" maxValue="1764806.5923000006"/>
    </cacheField>
    <cacheField name="Status" numFmtId="0">
      <sharedItems containsBlank="1"/>
    </cacheField>
    <cacheField name="Total Sales " numFmtId="0">
      <sharedItems containsString="0" containsBlank="1" containsNumber="1" minValue="29.99" maxValue="38970"/>
    </cacheField>
    <cacheField name="Profit" numFmtId="0">
      <sharedItems containsString="0" containsBlank="1" containsNumber="1" minValue="0" maxValue="37671"/>
    </cacheField>
    <cacheField name="Month" numFmtId="0">
      <sharedItems containsBlank="1"/>
    </cacheField>
    <cacheField name="Discount Amount" numFmtId="0">
      <sharedItems containsString="0" containsBlank="1" containsNumber="1" minValue="-33774" maxValue="194.85000000000014"/>
    </cacheField>
    <cacheField name="Profit Margin%" numFmtId="0">
      <sharedItems containsString="0" containsBlank="1" containsNumber="1" minValue="0" maxValue="1.1372549019607845"/>
    </cacheField>
    <cacheField name="Average Selling Price " numFmtId="0">
      <sharedItems containsString="0" containsBlank="1" containsNumber="1" minValue="16.991499999999998" maxValue="1299"/>
    </cacheField>
    <cacheField name="Order Size" numFmtId="0">
      <sharedItems containsBlank="1"/>
    </cacheField>
    <cacheField name="Sales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tha" refreshedDate="46209.54984097222" createdVersion="8" refreshedVersion="8" minRefreshableVersion="3" recordCount="502" xr:uid="{CDB44C20-1679-4673-90C6-FB199302EA50}">
  <cacheSource type="worksheet">
    <worksheetSource ref="A1:T1048576" sheet="Sales Transactions"/>
  </cacheSource>
  <cacheFields count="20">
    <cacheField name="Order ID" numFmtId="0">
      <sharedItems containsBlank="1"/>
    </cacheField>
    <cacheField name="Date" numFmtId="0">
      <sharedItems containsBlank="1"/>
    </cacheField>
    <cacheField name="Sales Rep" numFmtId="0">
      <sharedItems containsBlank="1" count="11">
        <s v="Carol Lee"/>
        <s v="Grace Park"/>
        <s v="Iris Patel"/>
        <s v="David Kim"/>
        <s v="Eve Torres"/>
        <s v="Henry Wu"/>
        <s v="James Rivera"/>
        <s v="Frank Ng"/>
        <s v="Bob Smith"/>
        <s v="Alice Johnson"/>
        <m/>
      </sharedItems>
    </cacheField>
    <cacheField name="Region" numFmtId="0">
      <sharedItems containsBlank="1" count="5">
        <s v="East"/>
        <s v="North"/>
        <s v="West"/>
        <s v="South"/>
        <m/>
      </sharedItems>
    </cacheField>
    <cacheField name="Product" numFmtId="0">
      <sharedItems containsBlank="1" count="26">
        <s v="Whiteboard"/>
        <s v="Laptop Pro 13"/>
        <s v="Wireless Mouse"/>
        <s v="Cable Management Kit"/>
        <s v="Ergonomic Chair"/>
        <s v="Monitor 27&quot;"/>
        <s v="Laptop Stand"/>
        <s v="VPN License (1yr)"/>
        <s v="Laptop Pro 15"/>
        <s v="Standing Desk"/>
        <s v="Noise Cancelling Headphones"/>
        <s v="USB-C Hub"/>
        <s v="Project Mgmt License"/>
        <s v="Antivirus Suite (1yr)"/>
        <s v="Design Suite License"/>
        <s v="Webcam 4K"/>
        <s v="Monitor 32&quot;"/>
        <s v="Mechanical Keyboard"/>
        <s v="Cloud Backup (1yr)"/>
        <s v="Bookshelf"/>
        <s v="Filing Cabinet"/>
        <s v="Monitor Arm"/>
        <s v="Webcam HD"/>
        <s v="Office Chair"/>
        <s v="Desk Lamp"/>
        <m/>
      </sharedItems>
    </cacheField>
    <cacheField name="Category" numFmtId="0">
      <sharedItems containsBlank="1" count="6">
        <s v="Furniture"/>
        <s v="Electronics"/>
        <s v="Accessories"/>
        <s v="Software"/>
        <s v="TOTALS"/>
        <m/>
      </sharedItems>
    </cacheField>
    <cacheField name="Units" numFmtId="0">
      <sharedItems containsString="0" containsBlank="1" containsNumber="1" containsInteger="1" minValue="1" maxValue="7637"/>
    </cacheField>
    <cacheField name="Unit Price ($)" numFmtId="0">
      <sharedItems containsString="0" containsBlank="1" containsNumber="1" minValue="19.989999999999998" maxValue="1299"/>
    </cacheField>
    <cacheField name="Revenue ($)" numFmtId="0">
      <sharedItems containsString="0" containsBlank="1" containsNumber="1" minValue="29.99" maxValue="1886331.149999999"/>
    </cacheField>
    <cacheField name="Discount (%)" numFmtId="0">
      <sharedItems containsString="0" containsBlank="1" containsNumber="1" containsInteger="1" minValue="0" maxValue="15"/>
    </cacheField>
    <cacheField name="Net Revenue ($)" numFmtId="0">
      <sharedItems containsString="0" containsBlank="1" containsNumber="1" minValue="27.590799999999998" maxValue="1764806.5923000006"/>
    </cacheField>
    <cacheField name="Status" numFmtId="0">
      <sharedItems containsBlank="1"/>
    </cacheField>
    <cacheField name="Total Sales " numFmtId="0">
      <sharedItems containsString="0" containsBlank="1" containsNumber="1" minValue="29.99" maxValue="38970"/>
    </cacheField>
    <cacheField name="Profit" numFmtId="0">
      <sharedItems containsString="0" containsBlank="1" containsNumber="1" minValue="0" maxValue="37671"/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Discount Amount" numFmtId="0">
      <sharedItems containsString="0" containsBlank="1" containsNumber="1" minValue="-33774" maxValue="194.85000000000014"/>
    </cacheField>
    <cacheField name="Profit Margin%" numFmtId="0">
      <sharedItems containsString="0" containsBlank="1" containsNumber="1" minValue="0" maxValue="1.1372549019607845"/>
    </cacheField>
    <cacheField name="Average Selling Price " numFmtId="0">
      <sharedItems containsString="0" containsBlank="1" containsNumber="1" minValue="16.991499999999998" maxValue="1299"/>
    </cacheField>
    <cacheField name="Order Size" numFmtId="0">
      <sharedItems containsBlank="1"/>
    </cacheField>
    <cacheField name="Sales Ran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-0029"/>
    <s v="2025-01-01"/>
    <s v="Carol Lee"/>
    <x v="0"/>
    <s v="Whiteboard"/>
    <s v="Furniture"/>
    <n v="25"/>
    <n v="129"/>
    <n v="3225"/>
    <n v="15"/>
    <n v="2741.25"/>
    <s v="Completed"/>
    <n v="3225"/>
    <n v="3096"/>
    <s v="January"/>
    <n v="-2612.25"/>
    <n v="1.1294117647058823"/>
    <n v="109.65"/>
    <s v="Large"/>
    <s v="High"/>
  </r>
  <r>
    <s v="ORD-0048"/>
    <s v="2025-01-03"/>
    <s v="Grace Park"/>
    <x v="1"/>
    <s v="Laptop Pro 13"/>
    <s v="Electronics"/>
    <n v="6"/>
    <n v="999"/>
    <n v="5994"/>
    <n v="10"/>
    <n v="5394.6"/>
    <s v="Completed"/>
    <n v="5994"/>
    <n v="4995"/>
    <s v="January"/>
    <n v="-4395.6000000000004"/>
    <n v="0.92592592592592582"/>
    <n v="899.1"/>
    <s v="Small"/>
    <s v="High"/>
  </r>
  <r>
    <s v="ORD-0153"/>
    <s v="2025-01-03"/>
    <s v="Carol Lee"/>
    <x v="0"/>
    <s v="Whiteboard"/>
    <s v="Furniture"/>
    <n v="3"/>
    <n v="129"/>
    <n v="387"/>
    <n v="0"/>
    <n v="387"/>
    <s v="Completed"/>
    <n v="387"/>
    <n v="258"/>
    <s v="January"/>
    <n v="-258"/>
    <n v="0.66666666666666663"/>
    <n v="129"/>
    <s v="Small"/>
    <s v="High"/>
  </r>
  <r>
    <s v="ORD-0037"/>
    <s v="2025-01-08"/>
    <s v="Iris Patel"/>
    <x v="1"/>
    <s v="Wireless Mouse"/>
    <s v="Accessories"/>
    <n v="19"/>
    <n v="29.99"/>
    <n v="569.80999999999995"/>
    <n v="5"/>
    <n v="541.31949999999995"/>
    <s v="Completed"/>
    <n v="569.80999999999995"/>
    <n v="539.81999999999994"/>
    <s v="January"/>
    <n v="-511.32949999999994"/>
    <n v="0.99722991689750695"/>
    <n v="28.490499999999997"/>
    <s v="Large"/>
    <s v="Low"/>
  </r>
  <r>
    <s v="ORD-0258"/>
    <s v="2025-01-08"/>
    <s v="David Kim"/>
    <x v="2"/>
    <s v="Cable Management Kit"/>
    <s v="Accessories"/>
    <n v="20"/>
    <n v="19.989999999999998"/>
    <n v="399.79999999999995"/>
    <n v="0"/>
    <n v="399.79999999999995"/>
    <s v="Completed"/>
    <n v="399.79999999999995"/>
    <n v="379.80999999999995"/>
    <s v="January"/>
    <n v="-379.80999999999995"/>
    <n v="0.95"/>
    <n v="19.989999999999998"/>
    <s v="Large"/>
    <s v="Low"/>
  </r>
  <r>
    <s v="ORD-0057"/>
    <s v="2025-01-10"/>
    <s v="Eve Torres"/>
    <x v="3"/>
    <s v="Ergonomic Chair"/>
    <s v="Furniture"/>
    <n v="11"/>
    <n v="299"/>
    <n v="3289"/>
    <n v="0"/>
    <n v="3289"/>
    <s v="Completed"/>
    <n v="3289"/>
    <n v="2990"/>
    <s v="January"/>
    <n v="-2990"/>
    <n v="0.90909090909090906"/>
    <n v="299"/>
    <s v="Large"/>
    <s v="Low"/>
  </r>
  <r>
    <s v="ORD-0067"/>
    <s v="2025-01-10"/>
    <s v="Henry Wu"/>
    <x v="0"/>
    <s v="Whiteboard"/>
    <s v="Furniture"/>
    <n v="23"/>
    <n v="129"/>
    <n v="2967"/>
    <n v="10"/>
    <n v="2670.3"/>
    <s v="Completed"/>
    <n v="2967"/>
    <n v="2838"/>
    <s v="January"/>
    <n v="-2541.3000000000002"/>
    <n v="1.0628019323671496"/>
    <n v="116.10000000000001"/>
    <s v="Large"/>
    <s v="High"/>
  </r>
  <r>
    <s v="ORD-0468"/>
    <s v="2025-01-10"/>
    <s v="David Kim"/>
    <x v="2"/>
    <s v="Monitor 27&quot;"/>
    <s v="Electronics"/>
    <n v="23"/>
    <n v="399"/>
    <n v="9177"/>
    <n v="0"/>
    <n v="9177"/>
    <s v="Completed"/>
    <n v="9177"/>
    <n v="8778"/>
    <s v="January"/>
    <n v="-8778"/>
    <n v="0.95652173913043481"/>
    <n v="399"/>
    <s v="Large"/>
    <s v="High"/>
  </r>
  <r>
    <s v="ORD-0133"/>
    <s v="2025-01-11"/>
    <s v="Eve Torres"/>
    <x v="3"/>
    <s v="Laptop Stand"/>
    <s v="Accessories"/>
    <n v="9"/>
    <n v="59.99"/>
    <n v="539.91"/>
    <n v="5"/>
    <n v="512.91449999999998"/>
    <s v="Completed"/>
    <n v="539.91"/>
    <n v="479.91999999999996"/>
    <s v="January"/>
    <n v="-452.92449999999997"/>
    <n v="0.93567251461988299"/>
    <n v="56.990499999999997"/>
    <s v="Small"/>
    <s v="High"/>
  </r>
  <r>
    <s v="ORD-0495"/>
    <s v="2025-01-13"/>
    <s v="James Rivera"/>
    <x v="3"/>
    <s v="Laptop Stand"/>
    <s v="Accessories"/>
    <n v="28"/>
    <n v="59.99"/>
    <n v="1679.72"/>
    <n v="10"/>
    <n v="1511.748"/>
    <s v="Completed"/>
    <n v="1679.72"/>
    <n v="1619.73"/>
    <s v="January"/>
    <n v="-1451.758"/>
    <n v="1.0714285714285714"/>
    <n v="53.991"/>
    <s v="Large"/>
    <s v="Low"/>
  </r>
  <r>
    <s v="ORD-0210"/>
    <s v="2025-01-15"/>
    <s v="Frank Ng"/>
    <x v="2"/>
    <s v="Monitor 27&quot;"/>
    <s v="Electronics"/>
    <n v="26"/>
    <n v="399"/>
    <n v="10374"/>
    <n v="10"/>
    <n v="9336.6"/>
    <s v="Completed"/>
    <n v="10374"/>
    <n v="9975"/>
    <s v="January"/>
    <n v="-8937.6"/>
    <n v="1.0683760683760684"/>
    <n v="359.1"/>
    <s v="Large"/>
    <s v="High"/>
  </r>
  <r>
    <s v="ORD-0046"/>
    <s v="2025-01-16"/>
    <s v="Bob Smith"/>
    <x v="3"/>
    <s v="Laptop Pro 13"/>
    <s v="Electronics"/>
    <n v="21"/>
    <n v="999"/>
    <n v="20979"/>
    <n v="15"/>
    <n v="17832.149999999998"/>
    <s v="Completed"/>
    <n v="20979"/>
    <n v="19980"/>
    <s v="January"/>
    <n v="-16833.149999999998"/>
    <n v="1.1204481792717089"/>
    <n v="849.14999999999986"/>
    <s v="Large"/>
    <s v="High"/>
  </r>
  <r>
    <s v="ORD-0036"/>
    <s v="2025-01-22"/>
    <s v="David Kim"/>
    <x v="2"/>
    <s v="Wireless Mouse"/>
    <s v="Accessories"/>
    <n v="3"/>
    <n v="29.99"/>
    <n v="89.97"/>
    <n v="8"/>
    <n v="82.772400000000005"/>
    <s v="Completed"/>
    <n v="89.97"/>
    <n v="59.980000000000004"/>
    <s v="January"/>
    <n v="-52.78240000000001"/>
    <n v="0.72463768115942029"/>
    <n v="27.590800000000002"/>
    <s v="Small"/>
    <s v="High"/>
  </r>
  <r>
    <s v="ORD-0248"/>
    <s v="2025-01-27"/>
    <s v="Iris Patel"/>
    <x v="1"/>
    <s v="VPN License (1yr)"/>
    <s v="Software"/>
    <n v="27"/>
    <n v="49.99"/>
    <n v="1349.73"/>
    <n v="15"/>
    <n v="1147.2705000000001"/>
    <s v="Completed"/>
    <n v="1349.73"/>
    <n v="1299.74"/>
    <s v="January"/>
    <n v="-1097.2805000000001"/>
    <n v="1.1328976034858387"/>
    <n v="42.491500000000002"/>
    <s v="Large"/>
    <s v="Low"/>
  </r>
  <r>
    <s v="ORD-0112"/>
    <s v="2025-01-28"/>
    <s v="Iris Patel"/>
    <x v="1"/>
    <s v="Laptop Pro 15"/>
    <s v="Electronics"/>
    <n v="30"/>
    <n v="1299"/>
    <n v="38970"/>
    <n v="10"/>
    <n v="35073"/>
    <s v="Completed"/>
    <n v="38970"/>
    <n v="37671"/>
    <s v="January"/>
    <n v="-33774"/>
    <n v="1.0740740740740742"/>
    <n v="1169.0999999999999"/>
    <s v="Large"/>
    <s v="High"/>
  </r>
  <r>
    <s v="ORD-0383"/>
    <s v="2025-01-28"/>
    <s v="Bob Smith"/>
    <x v="3"/>
    <s v="Standing Desk"/>
    <s v="Furniture"/>
    <n v="19"/>
    <n v="549"/>
    <n v="10431"/>
    <n v="5"/>
    <n v="9909.4499999999989"/>
    <s v="Completed"/>
    <n v="10431"/>
    <n v="9882"/>
    <s v="January"/>
    <n v="-9360.4499999999989"/>
    <n v="0.99722991689750706"/>
    <n v="521.54999999999995"/>
    <s v="Large"/>
    <s v="High"/>
  </r>
  <r>
    <s v="ORD-0191"/>
    <s v="2025-01-30"/>
    <s v="Bob Smith"/>
    <x v="3"/>
    <s v="Ergonomic Chair"/>
    <s v="Furniture"/>
    <n v="6"/>
    <n v="299"/>
    <n v="1794"/>
    <n v="5"/>
    <n v="1704.3"/>
    <s v="Completed"/>
    <n v="1794"/>
    <n v="1495"/>
    <s v="January"/>
    <n v="-1405.3"/>
    <n v="0.87719298245614041"/>
    <n v="284.05"/>
    <s v="Small"/>
    <s v="High"/>
  </r>
  <r>
    <s v="ORD-0437"/>
    <s v="2025-02-02"/>
    <s v="Eve Torres"/>
    <x v="3"/>
    <s v="Noise Cancelling Headphones"/>
    <s v="Electronics"/>
    <n v="30"/>
    <n v="249"/>
    <n v="7470"/>
    <n v="0"/>
    <n v="7470"/>
    <s v="Pending"/>
    <n v="7470"/>
    <n v="7221"/>
    <s v="February"/>
    <n v="-7221"/>
    <n v="0.96666666666666667"/>
    <n v="249"/>
    <s v="Large"/>
    <s v="High"/>
  </r>
  <r>
    <s v="ORD-0476"/>
    <s v="2025-02-02"/>
    <s v="David Kim"/>
    <x v="2"/>
    <s v="USB-C Hub"/>
    <s v="Accessories"/>
    <n v="22"/>
    <n v="49.99"/>
    <n v="1099.78"/>
    <n v="0"/>
    <n v="1099.78"/>
    <s v="Completed"/>
    <n v="1099.78"/>
    <n v="1049.79"/>
    <s v="February"/>
    <n v="-1049.79"/>
    <n v="0.95454545454545459"/>
    <n v="49.99"/>
    <s v="Large"/>
    <s v="High"/>
  </r>
  <r>
    <s v="ORD-0481"/>
    <s v="2025-02-03"/>
    <s v="Bob Smith"/>
    <x v="3"/>
    <s v="Project Mgmt License"/>
    <s v="Software"/>
    <n v="30"/>
    <n v="149"/>
    <n v="4470"/>
    <n v="5"/>
    <n v="4246.5"/>
    <s v="Completed"/>
    <n v="4470"/>
    <n v="4321"/>
    <s v="February"/>
    <n v="-4097.5"/>
    <n v="1.0175438596491229"/>
    <n v="141.55000000000001"/>
    <s v="Large"/>
    <s v="High"/>
  </r>
  <r>
    <s v="ORD-0204"/>
    <s v="2025-02-04"/>
    <s v="Alice Johnson"/>
    <x v="1"/>
    <s v="USB-C Hub"/>
    <s v="Accessories"/>
    <n v="26"/>
    <n v="49.99"/>
    <n v="1299.74"/>
    <n v="12"/>
    <n v="1143.7711999999999"/>
    <s v="Completed"/>
    <n v="1299.74"/>
    <n v="1249.75"/>
    <s v="February"/>
    <n v="-1093.7811999999999"/>
    <n v="1.0926573426573427"/>
    <n v="43.991199999999999"/>
    <s v="Large"/>
    <s v="High"/>
  </r>
  <r>
    <s v="ORD-0466"/>
    <s v="2025-02-04"/>
    <s v="Iris Patel"/>
    <x v="1"/>
    <s v="Antivirus Suite (1yr)"/>
    <s v="Software"/>
    <n v="2"/>
    <n v="59.99"/>
    <n v="119.98"/>
    <n v="15"/>
    <n v="101.983"/>
    <s v="Completed"/>
    <n v="119.98"/>
    <n v="59.99"/>
    <s v="February"/>
    <n v="-41.993000000000002"/>
    <n v="0.58823529411764708"/>
    <n v="50.991500000000002"/>
    <s v="Small"/>
    <s v="High"/>
  </r>
  <r>
    <s v="ORD-0332"/>
    <s v="2025-02-05"/>
    <s v="Carol Lee"/>
    <x v="0"/>
    <s v="Laptop Pro 15"/>
    <s v="Electronics"/>
    <n v="5"/>
    <n v="1299"/>
    <n v="6495"/>
    <n v="12"/>
    <n v="5715.6"/>
    <s v="Completed"/>
    <n v="6495"/>
    <n v="5196"/>
    <s v="February"/>
    <n v="-4416.6000000000004"/>
    <n v="0.90909090909090906"/>
    <n v="1143.1200000000001"/>
    <s v="Small"/>
    <s v="Low"/>
  </r>
  <r>
    <s v="ORD-0068"/>
    <s v="2025-02-06"/>
    <s v="Bob Smith"/>
    <x v="3"/>
    <s v="Design Suite License"/>
    <s v="Software"/>
    <n v="29"/>
    <n v="299"/>
    <n v="8671"/>
    <n v="0"/>
    <n v="8671"/>
    <s v="Completed"/>
    <n v="8671"/>
    <n v="8372"/>
    <s v="February"/>
    <n v="-8372"/>
    <n v="0.96551724137931039"/>
    <n v="299"/>
    <s v="Large"/>
    <s v="High"/>
  </r>
  <r>
    <s v="ORD-0405"/>
    <s v="2025-02-07"/>
    <s v="Alice Johnson"/>
    <x v="1"/>
    <s v="Webcam 4K"/>
    <s v="Electronics"/>
    <n v="14"/>
    <n v="149.99"/>
    <n v="2099.86"/>
    <n v="0"/>
    <n v="2099.86"/>
    <s v="Completed"/>
    <n v="2099.86"/>
    <n v="1949.8700000000001"/>
    <s v="February"/>
    <n v="-1949.8700000000001"/>
    <n v="0.9285714285714286"/>
    <n v="149.99"/>
    <s v="Large"/>
    <s v="High"/>
  </r>
  <r>
    <s v="ORD-0215"/>
    <s v="2025-02-08"/>
    <s v="Grace Park"/>
    <x v="1"/>
    <s v="Monitor 32&quot;"/>
    <s v="Electronics"/>
    <n v="5"/>
    <n v="599"/>
    <n v="2995"/>
    <n v="0"/>
    <n v="2995"/>
    <s v="Completed"/>
    <n v="2995"/>
    <n v="2396"/>
    <s v="February"/>
    <n v="-2396"/>
    <n v="0.8"/>
    <n v="599"/>
    <s v="Small"/>
    <s v="High"/>
  </r>
  <r>
    <s v="ORD-0275"/>
    <s v="2025-02-08"/>
    <s v="Bob Smith"/>
    <x v="3"/>
    <s v="USB-C Hub"/>
    <s v="Accessories"/>
    <n v="15"/>
    <n v="49.99"/>
    <n v="749.85"/>
    <n v="12"/>
    <n v="659.86800000000005"/>
    <s v="Completed"/>
    <n v="749.85"/>
    <n v="699.86"/>
    <s v="February"/>
    <n v="-609.87800000000004"/>
    <n v="1.0606060606060606"/>
    <n v="43.991200000000006"/>
    <s v="Large"/>
    <s v="High"/>
  </r>
  <r>
    <s v="ORD-0291"/>
    <s v="2025-02-08"/>
    <s v="Eve Torres"/>
    <x v="3"/>
    <s v="Monitor 32&quot;"/>
    <s v="Electronics"/>
    <n v="17"/>
    <n v="599"/>
    <n v="10183"/>
    <n v="15"/>
    <n v="8655.5499999999993"/>
    <s v="Pending"/>
    <n v="10183"/>
    <n v="9584"/>
    <s v="February"/>
    <n v="-8056.5499999999993"/>
    <n v="1.1072664359861593"/>
    <n v="509.15"/>
    <s v="Large"/>
    <s v="Low"/>
  </r>
  <r>
    <s v="ORD-0406"/>
    <s v="2025-02-08"/>
    <s v="Henry Wu"/>
    <x v="0"/>
    <s v="Webcam 4K"/>
    <s v="Electronics"/>
    <n v="30"/>
    <n v="149.99"/>
    <n v="4499.7000000000007"/>
    <n v="5"/>
    <n v="4274.7150000000001"/>
    <s v="Completed"/>
    <n v="4499.7000000000007"/>
    <n v="4349.7100000000009"/>
    <s v="February"/>
    <n v="-4124.7250000000004"/>
    <n v="1.0175438596491231"/>
    <n v="142.4905"/>
    <s v="Large"/>
    <s v="High"/>
  </r>
  <r>
    <s v="ORD-0079"/>
    <s v="2025-02-09"/>
    <s v="Bob Smith"/>
    <x v="3"/>
    <s v="Mechanical Keyboard"/>
    <s v="Accessories"/>
    <n v="6"/>
    <n v="89.99"/>
    <n v="539.93999999999994"/>
    <n v="5"/>
    <n v="512.94299999999987"/>
    <s v="Completed"/>
    <n v="539.93999999999994"/>
    <n v="449.94999999999993"/>
    <s v="February"/>
    <n v="-422.95299999999986"/>
    <n v="0.87719298245614041"/>
    <n v="85.490499999999983"/>
    <s v="Small"/>
    <s v="High"/>
  </r>
  <r>
    <s v="ORD-0124"/>
    <s v="2025-02-12"/>
    <s v="Eve Torres"/>
    <x v="3"/>
    <s v="Project Mgmt License"/>
    <s v="Software"/>
    <n v="20"/>
    <n v="149"/>
    <n v="2980"/>
    <n v="0"/>
    <n v="2980"/>
    <s v="Completed"/>
    <n v="2980"/>
    <n v="2831"/>
    <s v="February"/>
    <n v="-2831"/>
    <n v="0.95"/>
    <n v="149"/>
    <s v="Large"/>
    <s v="Low"/>
  </r>
  <r>
    <s v="ORD-0355"/>
    <s v="2025-02-12"/>
    <s v="James Rivera"/>
    <x v="3"/>
    <s v="Cloud Backup (1yr)"/>
    <s v="Software"/>
    <n v="29"/>
    <n v="99"/>
    <n v="2871"/>
    <n v="8"/>
    <n v="2641.32"/>
    <s v="Completed"/>
    <n v="2871"/>
    <n v="2772"/>
    <s v="February"/>
    <n v="-2542.3200000000002"/>
    <n v="1.0494752623688155"/>
    <n v="91.080000000000013"/>
    <s v="Large"/>
    <s v="High"/>
  </r>
  <r>
    <s v="ORD-0479"/>
    <s v="2025-02-13"/>
    <s v="Frank Ng"/>
    <x v="2"/>
    <s v="Bookshelf"/>
    <s v="Furniture"/>
    <n v="28"/>
    <n v="199"/>
    <n v="5572"/>
    <n v="0"/>
    <n v="5572"/>
    <s v="Completed"/>
    <n v="5572"/>
    <n v="5373"/>
    <s v="February"/>
    <n v="-5373"/>
    <n v="0.9642857142857143"/>
    <n v="199"/>
    <s v="Large"/>
    <s v="High"/>
  </r>
  <r>
    <s v="ORD-0315"/>
    <s v="2025-02-14"/>
    <s v="Iris Patel"/>
    <x v="1"/>
    <s v="Laptop Pro 15"/>
    <s v="Electronics"/>
    <n v="13"/>
    <n v="1299"/>
    <n v="16887"/>
    <n v="12"/>
    <n v="14860.56"/>
    <s v="Pending"/>
    <n v="16887"/>
    <n v="15588"/>
    <s v="February"/>
    <n v="-13561.56"/>
    <n v="1.048951048951049"/>
    <n v="1143.1199999999999"/>
    <s v="Large"/>
    <s v="High"/>
  </r>
  <r>
    <s v="ORD-0320"/>
    <s v="2025-02-14"/>
    <s v="Henry Wu"/>
    <x v="0"/>
    <s v="Laptop Pro 13"/>
    <s v="Electronics"/>
    <n v="10"/>
    <n v="999"/>
    <n v="9990"/>
    <n v="5"/>
    <n v="9490.5"/>
    <s v="Completed"/>
    <n v="9990"/>
    <n v="8991"/>
    <s v="February"/>
    <n v="-8491.5"/>
    <n v="0.94736842105263153"/>
    <n v="949.05"/>
    <s v="Large"/>
    <s v="High"/>
  </r>
  <r>
    <s v="ORD-0372"/>
    <s v="2025-02-16"/>
    <s v="Frank Ng"/>
    <x v="2"/>
    <s v="VPN License (1yr)"/>
    <s v="Software"/>
    <n v="13"/>
    <n v="49.99"/>
    <n v="649.87"/>
    <n v="8"/>
    <n v="597.88040000000001"/>
    <s v="Completed"/>
    <n v="649.87"/>
    <n v="599.88"/>
    <s v="February"/>
    <n v="-547.8904"/>
    <n v="1.0033444816053512"/>
    <n v="45.9908"/>
    <s v="Large"/>
    <s v="High"/>
  </r>
  <r>
    <s v="ORD-0309"/>
    <s v="2025-02-18"/>
    <s v="Eve Torres"/>
    <x v="3"/>
    <s v="Wireless Mouse"/>
    <s v="Accessories"/>
    <n v="10"/>
    <n v="29.99"/>
    <n v="299.89999999999998"/>
    <n v="0"/>
    <n v="299.89999999999998"/>
    <s v="Completed"/>
    <n v="299.89999999999998"/>
    <n v="269.90999999999997"/>
    <s v="February"/>
    <n v="-269.90999999999997"/>
    <n v="0.89999999999999991"/>
    <n v="29.99"/>
    <s v="Large"/>
    <s v="Low"/>
  </r>
  <r>
    <s v="ORD-0223"/>
    <s v="2025-02-21"/>
    <s v="David Kim"/>
    <x v="2"/>
    <s v="Antivirus Suite (1yr)"/>
    <s v="Software"/>
    <n v="21"/>
    <n v="59.99"/>
    <n v="1259.79"/>
    <n v="0"/>
    <n v="1259.79"/>
    <s v="Completed"/>
    <n v="1259.79"/>
    <n v="1199.8"/>
    <s v="February"/>
    <n v="-1199.8"/>
    <n v="0.95238095238095233"/>
    <n v="59.989999999999995"/>
    <s v="Large"/>
    <s v="Low"/>
  </r>
  <r>
    <s v="ORD-0244"/>
    <s v="2025-02-22"/>
    <s v="Bob Smith"/>
    <x v="3"/>
    <s v="Standing Desk"/>
    <s v="Furniture"/>
    <n v="12"/>
    <n v="549"/>
    <n v="6588"/>
    <n v="10"/>
    <n v="5929.2"/>
    <s v="Completed"/>
    <n v="6588"/>
    <n v="6039"/>
    <s v="February"/>
    <n v="-5380.2"/>
    <n v="1.0185185185185186"/>
    <n v="494.09999999999997"/>
    <s v="Large"/>
    <s v="High"/>
  </r>
  <r>
    <s v="ORD-0384"/>
    <s v="2025-02-22"/>
    <s v="Henry Wu"/>
    <x v="0"/>
    <s v="Mechanical Keyboard"/>
    <s v="Accessories"/>
    <n v="21"/>
    <n v="89.99"/>
    <n v="1889.79"/>
    <n v="5"/>
    <n v="1795.3004999999998"/>
    <s v="Completed"/>
    <n v="1889.79"/>
    <n v="1799.8"/>
    <s v="February"/>
    <n v="-1705.3104999999998"/>
    <n v="1.0025062656641606"/>
    <n v="85.490499999999997"/>
    <s v="Large"/>
    <s v="High"/>
  </r>
  <r>
    <s v="ORD-0451"/>
    <s v="2025-02-22"/>
    <s v="Frank Ng"/>
    <x v="2"/>
    <s v="Monitor 27&quot;"/>
    <s v="Electronics"/>
    <n v="18"/>
    <n v="399"/>
    <n v="7182"/>
    <n v="5"/>
    <n v="6822.9"/>
    <s v="Completed"/>
    <n v="7182"/>
    <n v="6783"/>
    <s v="February"/>
    <n v="-6423.9"/>
    <n v="0.99415204678362579"/>
    <n v="379.04999999999995"/>
    <s v="Large"/>
    <s v="High"/>
  </r>
  <r>
    <s v="ORD-0229"/>
    <s v="2025-02-23"/>
    <s v="Frank Ng"/>
    <x v="2"/>
    <s v="Laptop Pro 15"/>
    <s v="Electronics"/>
    <n v="6"/>
    <n v="1299"/>
    <n v="7794"/>
    <n v="5"/>
    <n v="7404.2999999999993"/>
    <s v="Completed"/>
    <n v="7794"/>
    <n v="6495"/>
    <s v="February"/>
    <n v="-6105.2999999999993"/>
    <n v="0.87719298245614041"/>
    <n v="1234.05"/>
    <s v="Small"/>
    <s v="High"/>
  </r>
  <r>
    <s v="ORD-0282"/>
    <s v="2025-02-23"/>
    <s v="Grace Park"/>
    <x v="1"/>
    <s v="Standing Desk"/>
    <s v="Furniture"/>
    <n v="25"/>
    <n v="549"/>
    <n v="13725"/>
    <n v="8"/>
    <n v="12627"/>
    <s v="Pending"/>
    <n v="13725"/>
    <n v="13176"/>
    <s v="February"/>
    <n v="-12078"/>
    <n v="1.0434782608695652"/>
    <n v="505.08"/>
    <s v="Large"/>
    <s v="High"/>
  </r>
  <r>
    <s v="ORD-0400"/>
    <s v="2025-02-23"/>
    <s v="Iris Patel"/>
    <x v="1"/>
    <s v="Wireless Mouse"/>
    <s v="Accessories"/>
    <n v="21"/>
    <n v="29.99"/>
    <n v="629.79"/>
    <n v="5"/>
    <n v="598.30049999999994"/>
    <s v="Completed"/>
    <n v="629.79"/>
    <n v="599.79999999999995"/>
    <s v="February"/>
    <n v="-568.31049999999993"/>
    <n v="1.0025062656641603"/>
    <n v="28.490499999999997"/>
    <s v="Large"/>
    <s v="High"/>
  </r>
  <r>
    <s v="ORD-0147"/>
    <s v="2025-02-24"/>
    <s v="Bob Smith"/>
    <x v="3"/>
    <s v="Cable Management Kit"/>
    <s v="Accessories"/>
    <n v="16"/>
    <n v="19.989999999999998"/>
    <n v="319.83999999999997"/>
    <n v="0"/>
    <n v="319.83999999999997"/>
    <s v="Completed"/>
    <n v="319.83999999999997"/>
    <n v="299.84999999999997"/>
    <s v="February"/>
    <n v="-299.84999999999997"/>
    <n v="0.9375"/>
    <n v="19.989999999999998"/>
    <s v="Large"/>
    <s v="Low"/>
  </r>
  <r>
    <s v="ORD-0016"/>
    <s v="2025-02-27"/>
    <s v="Iris Patel"/>
    <x v="1"/>
    <s v="Wireless Mouse"/>
    <s v="Accessories"/>
    <n v="22"/>
    <n v="29.99"/>
    <n v="659.78"/>
    <n v="8"/>
    <n v="606.99760000000003"/>
    <s v="Completed"/>
    <n v="659.78"/>
    <n v="629.79"/>
    <s v="February"/>
    <n v="-577.00760000000002"/>
    <n v="1.0375494071146243"/>
    <n v="27.590800000000002"/>
    <s v="Large"/>
    <s v="Low"/>
  </r>
  <r>
    <s v="ORD-0359"/>
    <s v="2025-03-03"/>
    <s v="Grace Park"/>
    <x v="1"/>
    <s v="USB-C Hub"/>
    <s v="Accessories"/>
    <n v="15"/>
    <n v="49.99"/>
    <n v="749.85"/>
    <n v="0"/>
    <n v="749.85"/>
    <s v="Completed"/>
    <n v="749.85"/>
    <n v="699.86"/>
    <s v="March"/>
    <n v="-699.86"/>
    <n v="0.93333333333333335"/>
    <n v="49.99"/>
    <s v="Large"/>
    <s v="Low"/>
  </r>
  <r>
    <s v="ORD-0050"/>
    <s v="2025-03-04"/>
    <s v="David Kim"/>
    <x v="2"/>
    <s v="USB-C Hub"/>
    <s v="Accessories"/>
    <n v="7"/>
    <n v="49.99"/>
    <n v="349.93"/>
    <n v="0"/>
    <n v="349.93"/>
    <s v="Cancelled"/>
    <n v="349.93"/>
    <n v="299.94"/>
    <s v="March"/>
    <n v="-299.94"/>
    <n v="0.8571428571428571"/>
    <n v="49.99"/>
    <s v="Small"/>
    <s v="Low"/>
  </r>
  <r>
    <s v="ORD-0221"/>
    <s v="2025-03-04"/>
    <s v="Frank Ng"/>
    <x v="2"/>
    <s v="Whiteboard"/>
    <s v="Furniture"/>
    <n v="29"/>
    <n v="129"/>
    <n v="3741"/>
    <n v="8"/>
    <n v="3441.7200000000003"/>
    <s v="Completed"/>
    <n v="3741"/>
    <n v="3612"/>
    <s v="March"/>
    <n v="-3312.7200000000003"/>
    <n v="1.0494752623688155"/>
    <n v="118.68"/>
    <s v="Large"/>
    <s v="Low"/>
  </r>
  <r>
    <s v="ORD-0388"/>
    <s v="2025-03-05"/>
    <s v="David Kim"/>
    <x v="2"/>
    <s v="Standing Desk"/>
    <s v="Furniture"/>
    <n v="17"/>
    <n v="549"/>
    <n v="9333"/>
    <n v="12"/>
    <n v="8213.0400000000009"/>
    <s v="Pending"/>
    <n v="9333"/>
    <n v="8784"/>
    <s v="March"/>
    <n v="-7664.0400000000009"/>
    <n v="1.0695187165775399"/>
    <n v="483.12000000000006"/>
    <s v="Large"/>
    <s v="High"/>
  </r>
  <r>
    <s v="ORD-0310"/>
    <s v="2025-03-06"/>
    <s v="Grace Park"/>
    <x v="1"/>
    <s v="Antivirus Suite (1yr)"/>
    <s v="Software"/>
    <n v="26"/>
    <n v="59.99"/>
    <n v="1559.74"/>
    <n v="12"/>
    <n v="1372.5712000000001"/>
    <s v="Completed"/>
    <n v="1559.74"/>
    <n v="1499.75"/>
    <s v="March"/>
    <n v="-1312.5812000000001"/>
    <n v="1.0926573426573425"/>
    <n v="52.791200000000003"/>
    <s v="Large"/>
    <s v="High"/>
  </r>
  <r>
    <s v="ORD-0017"/>
    <s v="2025-03-09"/>
    <s v="Alice Johnson"/>
    <x v="1"/>
    <s v="Laptop Stand"/>
    <s v="Accessories"/>
    <n v="13"/>
    <n v="59.99"/>
    <n v="779.87"/>
    <n v="5"/>
    <n v="740.87649999999996"/>
    <s v="Completed"/>
    <n v="779.87"/>
    <n v="719.88"/>
    <s v="March"/>
    <n v="-680.88649999999996"/>
    <n v="0.97165991902834015"/>
    <n v="56.990499999999997"/>
    <s v="Large"/>
    <s v="High"/>
  </r>
  <r>
    <s v="ORD-0345"/>
    <s v="2025-03-09"/>
    <s v="Carol Lee"/>
    <x v="0"/>
    <s v="Filing Cabinet"/>
    <s v="Furniture"/>
    <n v="29"/>
    <n v="169"/>
    <n v="4901"/>
    <n v="0"/>
    <n v="4901"/>
    <s v="Completed"/>
    <n v="4901"/>
    <n v="4732"/>
    <s v="March"/>
    <n v="-4732"/>
    <n v="0.96551724137931039"/>
    <n v="169"/>
    <s v="Large"/>
    <s v="Low"/>
  </r>
  <r>
    <s v="ORD-0241"/>
    <s v="2025-03-10"/>
    <s v="Eve Torres"/>
    <x v="3"/>
    <s v="Monitor Arm"/>
    <s v="Accessories"/>
    <n v="5"/>
    <n v="79.989999999999995"/>
    <n v="399.95"/>
    <n v="12"/>
    <n v="351.95600000000002"/>
    <s v="Completed"/>
    <n v="399.95"/>
    <n v="319.95999999999998"/>
    <s v="March"/>
    <n v="-271.96600000000001"/>
    <n v="0.90909090909090895"/>
    <n v="70.391199999999998"/>
    <s v="Small"/>
    <s v="High"/>
  </r>
  <r>
    <s v="ORD-0059"/>
    <s v="2025-03-12"/>
    <s v="Eve Torres"/>
    <x v="3"/>
    <s v="Webcam HD"/>
    <s v="Electronics"/>
    <n v="30"/>
    <n v="79.989999999999995"/>
    <n v="2399.6999999999998"/>
    <n v="8"/>
    <n v="2207.7239999999997"/>
    <s v="Completed"/>
    <n v="2399.6999999999998"/>
    <n v="2319.71"/>
    <s v="March"/>
    <n v="-2127.7339999999999"/>
    <n v="1.0507246376811596"/>
    <n v="73.590799999999987"/>
    <s v="Large"/>
    <s v="Low"/>
  </r>
  <r>
    <s v="ORD-0117"/>
    <s v="2025-03-12"/>
    <s v="Iris Patel"/>
    <x v="1"/>
    <s v="Laptop Pro 13"/>
    <s v="Electronics"/>
    <n v="12"/>
    <n v="999"/>
    <n v="11988"/>
    <n v="5"/>
    <n v="11388.6"/>
    <s v="Cancelled"/>
    <n v="11988"/>
    <n v="10989"/>
    <s v="March"/>
    <n v="-10389.6"/>
    <n v="0.96491228070175439"/>
    <n v="949.05000000000007"/>
    <s v="Large"/>
    <s v="High"/>
  </r>
  <r>
    <s v="ORD-0125"/>
    <s v="2025-03-12"/>
    <s v="Iris Patel"/>
    <x v="1"/>
    <s v="Standing Desk"/>
    <s v="Furniture"/>
    <n v="22"/>
    <n v="549"/>
    <n v="12078"/>
    <n v="8"/>
    <n v="11111.76"/>
    <s v="Completed"/>
    <n v="12078"/>
    <n v="11529"/>
    <s v="March"/>
    <n v="-10562.76"/>
    <n v="1.0375494071146245"/>
    <n v="505.08"/>
    <s v="Large"/>
    <s v="High"/>
  </r>
  <r>
    <s v="ORD-0224"/>
    <s v="2025-03-12"/>
    <s v="David Kim"/>
    <x v="2"/>
    <s v="Webcam HD"/>
    <s v="Electronics"/>
    <n v="26"/>
    <n v="79.989999999999995"/>
    <n v="2079.7399999999998"/>
    <n v="5"/>
    <n v="1975.7529999999997"/>
    <s v="Cancelled"/>
    <n v="2079.7399999999998"/>
    <n v="1999.7499999999998"/>
    <s v="March"/>
    <n v="-1895.7629999999997"/>
    <n v="1.0121457489878543"/>
    <n v="75.990499999999983"/>
    <s v="Large"/>
    <s v="High"/>
  </r>
  <r>
    <s v="ORD-0178"/>
    <s v="2025-03-13"/>
    <s v="David Kim"/>
    <x v="2"/>
    <s v="Filing Cabinet"/>
    <s v="Furniture"/>
    <n v="17"/>
    <n v="169"/>
    <n v="2873"/>
    <n v="0"/>
    <n v="2873"/>
    <s v="Completed"/>
    <n v="2873"/>
    <n v="2704"/>
    <s v="March"/>
    <n v="-2704"/>
    <n v="0.94117647058823528"/>
    <n v="169"/>
    <s v="Large"/>
    <s v="High"/>
  </r>
  <r>
    <s v="ORD-0452"/>
    <s v="2025-03-16"/>
    <s v="Grace Park"/>
    <x v="1"/>
    <s v="Project Mgmt License"/>
    <s v="Software"/>
    <n v="20"/>
    <n v="149"/>
    <n v="2980"/>
    <n v="0"/>
    <n v="2980"/>
    <s v="Completed"/>
    <n v="2980"/>
    <n v="2831"/>
    <s v="March"/>
    <n v="-2831"/>
    <n v="0.95"/>
    <n v="149"/>
    <s v="Large"/>
    <s v="High"/>
  </r>
  <r>
    <s v="ORD-0234"/>
    <s v="2025-03-17"/>
    <s v="Bob Smith"/>
    <x v="3"/>
    <s v="Office Chair"/>
    <s v="Furniture"/>
    <n v="23"/>
    <n v="449"/>
    <n v="10327"/>
    <n v="12"/>
    <n v="9087.76"/>
    <s v="Completed"/>
    <n v="10327"/>
    <n v="9878"/>
    <s v="March"/>
    <n v="-8638.76"/>
    <n v="1.0869565217391304"/>
    <n v="395.12"/>
    <s v="Large"/>
    <s v="High"/>
  </r>
  <r>
    <s v="ORD-0489"/>
    <s v="2025-03-17"/>
    <s v="James Rivera"/>
    <x v="3"/>
    <s v="USB-C Hub"/>
    <s v="Accessories"/>
    <n v="26"/>
    <n v="49.99"/>
    <n v="1299.74"/>
    <n v="5"/>
    <n v="1234.7529999999999"/>
    <s v="Completed"/>
    <n v="1299.74"/>
    <n v="1249.75"/>
    <s v="March"/>
    <n v="-1184.7629999999999"/>
    <n v="1.0121457489878543"/>
    <n v="47.490499999999997"/>
    <s v="Large"/>
    <s v="High"/>
  </r>
  <r>
    <s v="ORD-0268"/>
    <s v="2025-03-20"/>
    <s v="Frank Ng"/>
    <x v="2"/>
    <s v="Wireless Mouse"/>
    <s v="Accessories"/>
    <n v="11"/>
    <n v="29.99"/>
    <n v="329.89"/>
    <n v="0"/>
    <n v="329.89"/>
    <s v="Completed"/>
    <n v="329.89"/>
    <n v="299.89999999999998"/>
    <s v="March"/>
    <n v="-299.89999999999998"/>
    <n v="0.90909090909090906"/>
    <n v="29.99"/>
    <s v="Large"/>
    <s v="High"/>
  </r>
  <r>
    <s v="ORD-0009"/>
    <s v="2025-03-22"/>
    <s v="Henry Wu"/>
    <x v="0"/>
    <s v="Whiteboard"/>
    <s v="Furniture"/>
    <n v="4"/>
    <n v="129"/>
    <n v="516"/>
    <n v="10"/>
    <n v="464.40000000000003"/>
    <s v="Completed"/>
    <n v="516"/>
    <n v="387"/>
    <s v="March"/>
    <n v="-335.40000000000003"/>
    <n v="0.83333333333333326"/>
    <n v="116.10000000000001"/>
    <s v="Small"/>
    <s v="Low"/>
  </r>
  <r>
    <s v="ORD-0326"/>
    <s v="2025-03-22"/>
    <s v="Eve Torres"/>
    <x v="3"/>
    <s v="Monitor 27&quot;"/>
    <s v="Electronics"/>
    <n v="24"/>
    <n v="399"/>
    <n v="9576"/>
    <n v="10"/>
    <n v="8618.4"/>
    <s v="Completed"/>
    <n v="9576"/>
    <n v="9177"/>
    <s v="March"/>
    <n v="-8219.4"/>
    <n v="1.0648148148148149"/>
    <n v="359.09999999999997"/>
    <s v="Large"/>
    <s v="Low"/>
  </r>
  <r>
    <s v="ORD-0396"/>
    <s v="2025-03-22"/>
    <s v="Carol Lee"/>
    <x v="0"/>
    <s v="USB-C Hub"/>
    <s v="Accessories"/>
    <n v="2"/>
    <n v="49.99"/>
    <n v="99.98"/>
    <n v="5"/>
    <n v="94.980999999999995"/>
    <s v="Completed"/>
    <n v="99.98"/>
    <n v="49.99"/>
    <s v="March"/>
    <n v="-44.990999999999993"/>
    <n v="0.52631578947368429"/>
    <n v="47.490499999999997"/>
    <s v="Small"/>
    <s v="High"/>
  </r>
  <r>
    <s v="ORD-0450"/>
    <s v="2025-03-22"/>
    <s v="David Kim"/>
    <x v="2"/>
    <s v="Mechanical Keyboard"/>
    <s v="Accessories"/>
    <n v="7"/>
    <n v="89.99"/>
    <n v="629.92999999999995"/>
    <n v="8"/>
    <n v="579.53559999999993"/>
    <s v="Completed"/>
    <n v="629.92999999999995"/>
    <n v="539.93999999999994"/>
    <s v="March"/>
    <n v="-489.54559999999992"/>
    <n v="0.93167701863354035"/>
    <n v="82.79079999999999"/>
    <s v="Small"/>
    <s v="Low"/>
  </r>
  <r>
    <s v="ORD-0484"/>
    <s v="2025-03-22"/>
    <s v="Iris Patel"/>
    <x v="1"/>
    <s v="Laptop Stand"/>
    <s v="Accessories"/>
    <n v="13"/>
    <n v="59.99"/>
    <n v="779.87"/>
    <n v="0"/>
    <n v="779.87"/>
    <s v="Completed"/>
    <n v="779.87"/>
    <n v="719.88"/>
    <s v="March"/>
    <n v="-719.88"/>
    <n v="0.92307692307692302"/>
    <n v="59.99"/>
    <s v="Large"/>
    <s v="Low"/>
  </r>
  <r>
    <s v="ORD-0103"/>
    <s v="2025-03-24"/>
    <s v="Eve Torres"/>
    <x v="3"/>
    <s v="Laptop Stand"/>
    <s v="Accessories"/>
    <n v="11"/>
    <n v="59.99"/>
    <n v="659.89"/>
    <n v="15"/>
    <n v="560.90649999999994"/>
    <s v="Completed"/>
    <n v="659.89"/>
    <n v="599.9"/>
    <s v="March"/>
    <n v="-500.91649999999993"/>
    <n v="1.0695187165775402"/>
    <n v="50.991499999999995"/>
    <s v="Large"/>
    <s v="Low"/>
  </r>
  <r>
    <s v="ORD-0160"/>
    <s v="2025-03-24"/>
    <s v="Iris Patel"/>
    <x v="1"/>
    <s v="Whiteboard"/>
    <s v="Furniture"/>
    <n v="16"/>
    <n v="129"/>
    <n v="2064"/>
    <n v="12"/>
    <n v="1816.32"/>
    <s v="Completed"/>
    <n v="2064"/>
    <n v="1935"/>
    <s v="March"/>
    <n v="-1687.32"/>
    <n v="1.0653409090909092"/>
    <n v="113.52"/>
    <s v="Large"/>
    <s v="Low"/>
  </r>
  <r>
    <s v="ORD-0054"/>
    <s v="2025-03-25"/>
    <s v="James Rivera"/>
    <x v="3"/>
    <s v="Wireless Mouse"/>
    <s v="Accessories"/>
    <n v="19"/>
    <n v="29.99"/>
    <n v="569.80999999999995"/>
    <n v="0"/>
    <n v="569.80999999999995"/>
    <s v="Completed"/>
    <n v="569.80999999999995"/>
    <n v="539.81999999999994"/>
    <s v="March"/>
    <n v="-539.81999999999994"/>
    <n v="0.94736842105263153"/>
    <n v="29.99"/>
    <s v="Large"/>
    <s v="High"/>
  </r>
  <r>
    <s v="ORD-0254"/>
    <s v="2025-03-25"/>
    <s v="Carol Lee"/>
    <x v="0"/>
    <s v="Webcam 4K"/>
    <s v="Electronics"/>
    <n v="25"/>
    <n v="149.99"/>
    <n v="3749.75"/>
    <n v="0"/>
    <n v="3749.75"/>
    <s v="Completed"/>
    <n v="3749.75"/>
    <n v="3599.76"/>
    <s v="March"/>
    <n v="-3599.76"/>
    <n v="0.96000000000000008"/>
    <n v="149.99"/>
    <s v="Large"/>
    <s v="Low"/>
  </r>
  <r>
    <s v="ORD-0253"/>
    <s v="2025-03-28"/>
    <s v="Carol Lee"/>
    <x v="0"/>
    <s v="Monitor Arm"/>
    <s v="Accessories"/>
    <n v="10"/>
    <n v="79.989999999999995"/>
    <n v="799.9"/>
    <n v="8"/>
    <n v="735.90800000000002"/>
    <s v="Completed"/>
    <n v="799.9"/>
    <n v="719.91"/>
    <s v="March"/>
    <n v="-655.91800000000001"/>
    <n v="0.97826086956521729"/>
    <n v="73.590800000000002"/>
    <s v="Large"/>
    <s v="High"/>
  </r>
  <r>
    <s v="ORD-0279"/>
    <s v="2025-03-28"/>
    <s v="Alice Johnson"/>
    <x v="1"/>
    <s v="Ergonomic Chair"/>
    <s v="Furniture"/>
    <n v="4"/>
    <n v="299"/>
    <n v="1196"/>
    <n v="8"/>
    <n v="1100.32"/>
    <s v="Completed"/>
    <n v="1196"/>
    <n v="897"/>
    <s v="March"/>
    <n v="-801.31999999999994"/>
    <n v="0.81521739130434789"/>
    <n v="275.08"/>
    <s v="Small"/>
    <s v="Low"/>
  </r>
  <r>
    <s v="ORD-0031"/>
    <s v="2025-03-29"/>
    <s v="David Kim"/>
    <x v="2"/>
    <s v="Laptop Pro 13"/>
    <s v="Electronics"/>
    <n v="8"/>
    <n v="999"/>
    <n v="7992"/>
    <n v="0"/>
    <n v="7992"/>
    <s v="Pending"/>
    <n v="7992"/>
    <n v="6993"/>
    <s v="March"/>
    <n v="-6993"/>
    <n v="0.875"/>
    <n v="999"/>
    <s v="Small"/>
    <s v="High"/>
  </r>
  <r>
    <s v="ORD-0488"/>
    <s v="2025-03-29"/>
    <s v="Grace Park"/>
    <x v="1"/>
    <s v="Standing Desk"/>
    <s v="Furniture"/>
    <n v="6"/>
    <n v="549"/>
    <n v="3294"/>
    <n v="10"/>
    <n v="2964.6"/>
    <s v="Cancelled"/>
    <n v="3294"/>
    <n v="2745"/>
    <s v="March"/>
    <n v="-2415.6"/>
    <n v="0.92592592592592593"/>
    <n v="494.09999999999997"/>
    <s v="Small"/>
    <s v="High"/>
  </r>
  <r>
    <s v="ORD-0412"/>
    <s v="2025-03-30"/>
    <s v="Grace Park"/>
    <x v="1"/>
    <s v="Standing Desk"/>
    <s v="Furniture"/>
    <n v="17"/>
    <n v="549"/>
    <n v="9333"/>
    <n v="8"/>
    <n v="8586.36"/>
    <s v="Completed"/>
    <n v="9333"/>
    <n v="8784"/>
    <s v="March"/>
    <n v="-8037.3600000000006"/>
    <n v="1.0230179028132991"/>
    <n v="505.08000000000004"/>
    <s v="Large"/>
    <s v="High"/>
  </r>
  <r>
    <s v="ORD-0002"/>
    <s v="2025-03-31"/>
    <s v="Carol Lee"/>
    <x v="0"/>
    <s v="Cloud Backup (1yr)"/>
    <s v="Software"/>
    <n v="4"/>
    <n v="99"/>
    <n v="396"/>
    <n v="15"/>
    <n v="336.59999999999997"/>
    <s v="Completed"/>
    <n v="396"/>
    <n v="297"/>
    <s v="March"/>
    <n v="-237.59999999999997"/>
    <n v="0.88235294117647067"/>
    <n v="84.149999999999991"/>
    <s v="Small"/>
    <s v="High"/>
  </r>
  <r>
    <s v="ORD-0021"/>
    <s v="2025-04-04"/>
    <s v="David Kim"/>
    <x v="2"/>
    <s v="Webcam HD"/>
    <s v="Electronics"/>
    <n v="17"/>
    <n v="79.989999999999995"/>
    <n v="1359.83"/>
    <n v="12"/>
    <n v="1196.6504"/>
    <s v="Cancelled"/>
    <n v="1359.83"/>
    <n v="1279.8399999999999"/>
    <s v="April"/>
    <n v="-1116.6604"/>
    <n v="1.0695187165775399"/>
    <n v="70.391199999999998"/>
    <s v="Large"/>
    <s v="Low"/>
  </r>
  <r>
    <s v="ORD-0222"/>
    <s v="2025-04-04"/>
    <s v="Eve Torres"/>
    <x v="3"/>
    <s v="Noise Cancelling Headphones"/>
    <s v="Electronics"/>
    <n v="4"/>
    <n v="249"/>
    <n v="996"/>
    <n v="12"/>
    <n v="876.48"/>
    <s v="Pending"/>
    <n v="996"/>
    <n v="747"/>
    <s v="April"/>
    <n v="-627.48"/>
    <n v="0.85227272727272729"/>
    <n v="219.12"/>
    <s v="Small"/>
    <s v="High"/>
  </r>
  <r>
    <s v="ORD-0251"/>
    <s v="2025-04-04"/>
    <s v="Carol Lee"/>
    <x v="0"/>
    <s v="Cloud Backup (1yr)"/>
    <s v="Software"/>
    <n v="21"/>
    <n v="99"/>
    <n v="2079"/>
    <n v="0"/>
    <n v="2079"/>
    <s v="Cancelled"/>
    <n v="2079"/>
    <n v="1980"/>
    <s v="April"/>
    <n v="-1980"/>
    <n v="0.95238095238095233"/>
    <n v="99"/>
    <s v="Large"/>
    <s v="Low"/>
  </r>
  <r>
    <s v="ORD-0301"/>
    <s v="2025-04-04"/>
    <s v="Henry Wu"/>
    <x v="0"/>
    <s v="Desk Lamp"/>
    <s v="Furniture"/>
    <n v="5"/>
    <n v="39.99"/>
    <n v="199.95000000000002"/>
    <n v="10"/>
    <n v="179.95500000000001"/>
    <s v="Completed"/>
    <n v="199.95000000000002"/>
    <n v="159.96"/>
    <s v="April"/>
    <n v="-139.965"/>
    <n v="0.88888888888888884"/>
    <n v="35.991"/>
    <s v="Small"/>
    <s v="High"/>
  </r>
  <r>
    <s v="ORD-0007"/>
    <s v="2025-04-05"/>
    <s v="David Kim"/>
    <x v="2"/>
    <s v="VPN License (1yr)"/>
    <s v="Software"/>
    <n v="11"/>
    <n v="49.99"/>
    <n v="549.89"/>
    <n v="0"/>
    <n v="549.89"/>
    <s v="Completed"/>
    <n v="549.89"/>
    <n v="499.9"/>
    <s v="April"/>
    <n v="-499.9"/>
    <n v="0.90909090909090906"/>
    <n v="49.99"/>
    <s v="Large"/>
    <s v="Low"/>
  </r>
  <r>
    <s v="ORD-0494"/>
    <s v="2025-04-06"/>
    <s v="Bob Smith"/>
    <x v="3"/>
    <s v="Laptop Pro 15"/>
    <s v="Electronics"/>
    <n v="3"/>
    <n v="1299"/>
    <n v="3897"/>
    <n v="8"/>
    <n v="3585.2400000000002"/>
    <s v="Completed"/>
    <n v="3897"/>
    <n v="2598"/>
    <s v="April"/>
    <n v="-2286.2400000000002"/>
    <n v="0.72463768115942029"/>
    <n v="1195.0800000000002"/>
    <s v="Small"/>
    <s v="Low"/>
  </r>
  <r>
    <s v="ORD-0203"/>
    <s v="2025-04-10"/>
    <s v="David Kim"/>
    <x v="2"/>
    <s v="Filing Cabinet"/>
    <s v="Furniture"/>
    <n v="9"/>
    <n v="169"/>
    <n v="1521"/>
    <n v="0"/>
    <n v="1521"/>
    <s v="Pending"/>
    <n v="1521"/>
    <n v="1352"/>
    <s v="April"/>
    <n v="-1352"/>
    <n v="0.88888888888888884"/>
    <n v="169"/>
    <s v="Small"/>
    <s v="High"/>
  </r>
  <r>
    <s v="ORD-0042"/>
    <s v="2025-04-11"/>
    <s v="Grace Park"/>
    <x v="1"/>
    <s v="Standing Desk"/>
    <s v="Furniture"/>
    <n v="15"/>
    <n v="549"/>
    <n v="8235"/>
    <n v="0"/>
    <n v="8235"/>
    <s v="Completed"/>
    <n v="8235"/>
    <n v="7686"/>
    <s v="April"/>
    <n v="-7686"/>
    <n v="0.93333333333333335"/>
    <n v="549"/>
    <s v="Large"/>
    <s v="High"/>
  </r>
  <r>
    <s v="ORD-0220"/>
    <s v="2025-04-12"/>
    <s v="Henry Wu"/>
    <x v="0"/>
    <s v="Wireless Mouse"/>
    <s v="Accessories"/>
    <n v="28"/>
    <n v="29.99"/>
    <n v="839.71999999999991"/>
    <n v="8"/>
    <n v="772.54239999999993"/>
    <s v="Pending"/>
    <n v="839.71999999999991"/>
    <n v="809.7299999999999"/>
    <s v="April"/>
    <n v="-742.55239999999992"/>
    <n v="1.0481366459627328"/>
    <n v="27.590799999999998"/>
    <s v="Large"/>
    <s v="High"/>
  </r>
  <r>
    <s v="ORD-0304"/>
    <s v="2025-04-12"/>
    <s v="Frank Ng"/>
    <x v="2"/>
    <s v="Wireless Mouse"/>
    <s v="Accessories"/>
    <n v="1"/>
    <n v="29.99"/>
    <n v="29.99"/>
    <n v="8"/>
    <n v="27.590799999999998"/>
    <s v="Pending"/>
    <n v="29.99"/>
    <n v="0"/>
    <s v="April"/>
    <n v="2.3992000000000004"/>
    <n v="0"/>
    <n v="27.590799999999998"/>
    <s v="Small"/>
    <s v="Low"/>
  </r>
  <r>
    <s v="ORD-0185"/>
    <s v="2025-04-13"/>
    <s v="Frank Ng"/>
    <x v="2"/>
    <s v="Monitor 32&quot;"/>
    <s v="Electronics"/>
    <n v="28"/>
    <n v="599"/>
    <n v="16772"/>
    <n v="12"/>
    <n v="14759.36"/>
    <s v="Completed"/>
    <n v="16772"/>
    <n v="16173"/>
    <s v="April"/>
    <n v="-14160.36"/>
    <n v="1.0957792207792207"/>
    <n v="527.12"/>
    <s v="Large"/>
    <s v="Low"/>
  </r>
  <r>
    <s v="ORD-0401"/>
    <s v="2025-04-13"/>
    <s v="Grace Park"/>
    <x v="1"/>
    <s v="Laptop Stand"/>
    <s v="Accessories"/>
    <n v="23"/>
    <n v="59.99"/>
    <n v="1379.77"/>
    <n v="12"/>
    <n v="1214.1976"/>
    <s v="Pending"/>
    <n v="1379.77"/>
    <n v="1319.78"/>
    <s v="April"/>
    <n v="-1154.2076"/>
    <n v="1.0869565217391304"/>
    <n v="52.791199999999996"/>
    <s v="Large"/>
    <s v="High"/>
  </r>
  <r>
    <s v="ORD-0123"/>
    <s v="2025-04-15"/>
    <s v="David Kim"/>
    <x v="2"/>
    <s v="Monitor 27&quot;"/>
    <s v="Electronics"/>
    <n v="19"/>
    <n v="399"/>
    <n v="7581"/>
    <n v="5"/>
    <n v="7201.95"/>
    <s v="Pending"/>
    <n v="7581"/>
    <n v="7182"/>
    <s v="April"/>
    <n v="-6802.95"/>
    <n v="0.99722991689750695"/>
    <n v="379.05"/>
    <s v="Large"/>
    <s v="High"/>
  </r>
  <r>
    <s v="ORD-0299"/>
    <s v="2025-04-16"/>
    <s v="Alice Johnson"/>
    <x v="1"/>
    <s v="Antivirus Suite (1yr)"/>
    <s v="Software"/>
    <n v="16"/>
    <n v="59.99"/>
    <n v="959.84"/>
    <n v="8"/>
    <n v="883.05280000000005"/>
    <s v="Pending"/>
    <n v="959.84"/>
    <n v="899.85"/>
    <s v="April"/>
    <n v="-823.06280000000004"/>
    <n v="1.0190217391304348"/>
    <n v="55.190800000000003"/>
    <s v="Large"/>
    <s v="High"/>
  </r>
  <r>
    <s v="ORD-0362"/>
    <s v="2025-04-19"/>
    <s v="Carol Lee"/>
    <x v="0"/>
    <s v="VPN License (1yr)"/>
    <s v="Software"/>
    <n v="12"/>
    <n v="49.99"/>
    <n v="599.88"/>
    <n v="15"/>
    <n v="509.89799999999997"/>
    <s v="Completed"/>
    <n v="599.88"/>
    <n v="549.89"/>
    <s v="April"/>
    <n v="-459.90799999999996"/>
    <n v="1.0784313725490196"/>
    <n v="42.491499999999995"/>
    <s v="Large"/>
    <s v="Low"/>
  </r>
  <r>
    <s v="ORD-0062"/>
    <s v="2025-04-20"/>
    <s v="Bob Smith"/>
    <x v="3"/>
    <s v="Webcam HD"/>
    <s v="Electronics"/>
    <n v="9"/>
    <n v="79.989999999999995"/>
    <n v="719.91"/>
    <n v="0"/>
    <n v="719.91"/>
    <s v="Cancelled"/>
    <n v="719.91"/>
    <n v="639.91999999999996"/>
    <s v="April"/>
    <n v="-639.91999999999996"/>
    <n v="0.88888888888888884"/>
    <n v="79.989999999999995"/>
    <s v="Small"/>
    <s v="Low"/>
  </r>
  <r>
    <s v="ORD-0095"/>
    <s v="2025-04-20"/>
    <s v="David Kim"/>
    <x v="2"/>
    <s v="Webcam HD"/>
    <s v="Electronics"/>
    <n v="21"/>
    <n v="79.989999999999995"/>
    <n v="1679.79"/>
    <n v="0"/>
    <n v="1679.79"/>
    <s v="Cancelled"/>
    <n v="1679.79"/>
    <n v="1599.8"/>
    <s v="April"/>
    <n v="-1599.8"/>
    <n v="0.95238095238095233"/>
    <n v="79.989999999999995"/>
    <s v="Large"/>
    <s v="Low"/>
  </r>
  <r>
    <s v="ORD-0199"/>
    <s v="2025-04-20"/>
    <s v="David Kim"/>
    <x v="2"/>
    <s v="Cable Management Kit"/>
    <s v="Accessories"/>
    <n v="28"/>
    <n v="19.989999999999998"/>
    <n v="559.71999999999991"/>
    <n v="12"/>
    <n v="492.5535999999999"/>
    <s v="Completed"/>
    <n v="559.71999999999991"/>
    <n v="539.7299999999999"/>
    <s v="April"/>
    <n v="-472.56359999999989"/>
    <n v="1.0957792207792207"/>
    <n v="17.591199999999997"/>
    <s v="Large"/>
    <s v="High"/>
  </r>
  <r>
    <s v="ORD-0246"/>
    <s v="2025-04-21"/>
    <s v="Carol Lee"/>
    <x v="0"/>
    <s v="Project Mgmt License"/>
    <s v="Software"/>
    <n v="16"/>
    <n v="149"/>
    <n v="2384"/>
    <n v="5"/>
    <n v="2264.7999999999997"/>
    <s v="Completed"/>
    <n v="2384"/>
    <n v="2235"/>
    <s v="April"/>
    <n v="-2115.7999999999997"/>
    <n v="0.98684210526315796"/>
    <n v="141.54999999999998"/>
    <s v="Large"/>
    <s v="Low"/>
  </r>
  <r>
    <s v="ORD-0227"/>
    <s v="2025-04-23"/>
    <s v="Iris Patel"/>
    <x v="1"/>
    <s v="Mechanical Keyboard"/>
    <s v="Accessories"/>
    <n v="26"/>
    <n v="89.99"/>
    <n v="2339.7399999999998"/>
    <n v="0"/>
    <n v="2339.7399999999998"/>
    <s v="Pending"/>
    <n v="2339.7399999999998"/>
    <n v="2249.75"/>
    <s v="April"/>
    <n v="-2249.75"/>
    <n v="0.96153846153846168"/>
    <n v="89.99"/>
    <s v="Large"/>
    <s v="High"/>
  </r>
  <r>
    <s v="ORD-0409"/>
    <s v="2025-04-26"/>
    <s v="Iris Patel"/>
    <x v="1"/>
    <s v="Ergonomic Chair"/>
    <s v="Furniture"/>
    <n v="9"/>
    <n v="299"/>
    <n v="2691"/>
    <n v="5"/>
    <n v="2556.4499999999998"/>
    <s v="Completed"/>
    <n v="2691"/>
    <n v="2392"/>
    <s v="April"/>
    <n v="-2257.4499999999998"/>
    <n v="0.9356725146198831"/>
    <n v="284.04999999999995"/>
    <s v="Small"/>
    <s v="High"/>
  </r>
  <r>
    <s v="ORD-0256"/>
    <s v="2025-04-27"/>
    <s v="Eve Torres"/>
    <x v="3"/>
    <s v="Noise Cancelling Headphones"/>
    <s v="Electronics"/>
    <n v="25"/>
    <n v="249"/>
    <n v="6225"/>
    <n v="15"/>
    <n v="5291.25"/>
    <s v="Completed"/>
    <n v="6225"/>
    <n v="5976"/>
    <s v="April"/>
    <n v="-5042.25"/>
    <n v="1.1294117647058823"/>
    <n v="211.65"/>
    <s v="Large"/>
    <s v="High"/>
  </r>
  <r>
    <s v="ORD-0208"/>
    <s v="2025-04-28"/>
    <s v="Eve Torres"/>
    <x v="3"/>
    <s v="Cloud Backup (1yr)"/>
    <s v="Software"/>
    <n v="28"/>
    <n v="99"/>
    <n v="2772"/>
    <n v="8"/>
    <n v="2550.2400000000002"/>
    <s v="Completed"/>
    <n v="2772"/>
    <n v="2673"/>
    <s v="April"/>
    <n v="-2451.2400000000002"/>
    <n v="1.0481366459627328"/>
    <n v="91.080000000000013"/>
    <s v="Large"/>
    <s v="High"/>
  </r>
  <r>
    <s v="ORD-0416"/>
    <s v="2025-05-02"/>
    <s v="Frank Ng"/>
    <x v="2"/>
    <s v="Design Suite License"/>
    <s v="Software"/>
    <n v="8"/>
    <n v="299"/>
    <n v="2392"/>
    <n v="0"/>
    <n v="2392"/>
    <s v="Completed"/>
    <n v="2392"/>
    <n v="2093"/>
    <s v="May"/>
    <n v="-2093"/>
    <n v="0.875"/>
    <n v="299"/>
    <s v="Small"/>
    <s v="High"/>
  </r>
  <r>
    <s v="ORD-0433"/>
    <s v="2025-05-02"/>
    <s v="Iris Patel"/>
    <x v="1"/>
    <s v="Webcam HD"/>
    <s v="Electronics"/>
    <n v="21"/>
    <n v="79.989999999999995"/>
    <n v="1679.79"/>
    <n v="8"/>
    <n v="1545.4068"/>
    <s v="Completed"/>
    <n v="1679.79"/>
    <n v="1599.8"/>
    <s v="May"/>
    <n v="-1465.4168"/>
    <n v="1.0351966873706004"/>
    <n v="73.590800000000002"/>
    <s v="Large"/>
    <s v="High"/>
  </r>
  <r>
    <s v="ORD-0172"/>
    <s v="2025-05-05"/>
    <s v="Carol Lee"/>
    <x v="0"/>
    <s v="USB-C Hub"/>
    <s v="Accessories"/>
    <n v="15"/>
    <n v="49.99"/>
    <n v="749.85"/>
    <n v="12"/>
    <n v="659.86800000000005"/>
    <s v="Completed"/>
    <n v="749.85"/>
    <n v="699.86"/>
    <s v="May"/>
    <n v="-609.87800000000004"/>
    <n v="1.0606060606060606"/>
    <n v="43.991200000000006"/>
    <s v="Large"/>
    <s v="High"/>
  </r>
  <r>
    <s v="ORD-0032"/>
    <s v="2025-05-09"/>
    <s v="Henry Wu"/>
    <x v="0"/>
    <s v="Monitor 27&quot;"/>
    <s v="Electronics"/>
    <n v="25"/>
    <n v="399"/>
    <n v="9975"/>
    <n v="15"/>
    <n v="8478.75"/>
    <s v="Completed"/>
    <n v="9975"/>
    <n v="9576"/>
    <s v="May"/>
    <n v="-8079.75"/>
    <n v="1.1294117647058823"/>
    <n v="339.15"/>
    <s v="Large"/>
    <s v="Low"/>
  </r>
  <r>
    <s v="ORD-0235"/>
    <s v="2025-05-10"/>
    <s v="Frank Ng"/>
    <x v="2"/>
    <s v="Filing Cabinet"/>
    <s v="Furniture"/>
    <n v="5"/>
    <n v="169"/>
    <n v="845"/>
    <n v="0"/>
    <n v="845"/>
    <s v="Completed"/>
    <n v="845"/>
    <n v="676"/>
    <s v="May"/>
    <n v="-676"/>
    <n v="0.8"/>
    <n v="169"/>
    <s v="Small"/>
    <s v="High"/>
  </r>
  <r>
    <s v="ORD-0069"/>
    <s v="2025-05-11"/>
    <s v="James Rivera"/>
    <x v="3"/>
    <s v="Whiteboard"/>
    <s v="Furniture"/>
    <n v="5"/>
    <n v="129"/>
    <n v="645"/>
    <n v="10"/>
    <n v="580.5"/>
    <s v="Completed"/>
    <n v="645"/>
    <n v="516"/>
    <s v="May"/>
    <n v="-451.5"/>
    <n v="0.88888888888888884"/>
    <n v="116.1"/>
    <s v="Small"/>
    <s v="Low"/>
  </r>
  <r>
    <s v="ORD-0085"/>
    <s v="2025-05-11"/>
    <s v="Grace Park"/>
    <x v="1"/>
    <s v="Laptop Stand"/>
    <s v="Accessories"/>
    <n v="13"/>
    <n v="59.99"/>
    <n v="779.87"/>
    <n v="5"/>
    <n v="740.87649999999996"/>
    <s v="Completed"/>
    <n v="779.87"/>
    <n v="719.88"/>
    <s v="May"/>
    <n v="-680.88649999999996"/>
    <n v="0.97165991902834015"/>
    <n v="56.990499999999997"/>
    <s v="Large"/>
    <s v="Low"/>
  </r>
  <r>
    <s v="ORD-0111"/>
    <s v="2025-05-11"/>
    <s v="Grace Park"/>
    <x v="1"/>
    <s v="Cloud Backup (1yr)"/>
    <s v="Software"/>
    <n v="6"/>
    <n v="99"/>
    <n v="594"/>
    <n v="12"/>
    <n v="522.72"/>
    <s v="Completed"/>
    <n v="594"/>
    <n v="495"/>
    <s v="May"/>
    <n v="-423.72"/>
    <n v="0.94696969696969691"/>
    <n v="87.12"/>
    <s v="Small"/>
    <s v="Low"/>
  </r>
  <r>
    <s v="ORD-0287"/>
    <s v="2025-05-11"/>
    <s v="Grace Park"/>
    <x v="1"/>
    <s v="Antivirus Suite (1yr)"/>
    <s v="Software"/>
    <n v="26"/>
    <n v="59.99"/>
    <n v="1559.74"/>
    <n v="8"/>
    <n v="1434.9608000000001"/>
    <s v="Pending"/>
    <n v="1559.74"/>
    <n v="1499.75"/>
    <s v="May"/>
    <n v="-1374.9708000000001"/>
    <n v="1.0451505016722407"/>
    <n v="55.190800000000003"/>
    <s v="Large"/>
    <s v="Low"/>
  </r>
  <r>
    <s v="ORD-0375"/>
    <s v="2025-05-12"/>
    <s v="Iris Patel"/>
    <x v="1"/>
    <s v="Mechanical Keyboard"/>
    <s v="Accessories"/>
    <n v="27"/>
    <n v="89.99"/>
    <n v="2429.73"/>
    <n v="0"/>
    <n v="2429.73"/>
    <s v="Completed"/>
    <n v="2429.73"/>
    <n v="2339.7400000000002"/>
    <s v="May"/>
    <n v="-2339.7400000000002"/>
    <n v="0.96296296296296302"/>
    <n v="89.99"/>
    <s v="Large"/>
    <s v="High"/>
  </r>
  <r>
    <s v="ORD-0349"/>
    <s v="2025-05-13"/>
    <s v="Iris Patel"/>
    <x v="1"/>
    <s v="Antivirus Suite (1yr)"/>
    <s v="Software"/>
    <n v="19"/>
    <n v="59.99"/>
    <n v="1139.81"/>
    <n v="0"/>
    <n v="1139.81"/>
    <s v="Completed"/>
    <n v="1139.81"/>
    <n v="1079.82"/>
    <s v="May"/>
    <n v="-1079.82"/>
    <n v="0.94736842105263153"/>
    <n v="59.989999999999995"/>
    <s v="Large"/>
    <s v="High"/>
  </r>
  <r>
    <s v="ORD-0056"/>
    <s v="2025-05-15"/>
    <s v="Frank Ng"/>
    <x v="2"/>
    <s v="Wireless Mouse"/>
    <s v="Accessories"/>
    <n v="9"/>
    <n v="29.99"/>
    <n v="269.90999999999997"/>
    <n v="10"/>
    <n v="242.91899999999998"/>
    <s v="Pending"/>
    <n v="269.90999999999997"/>
    <n v="239.91999999999996"/>
    <s v="May"/>
    <n v="-212.92899999999997"/>
    <n v="0.98765432098765427"/>
    <n v="26.991"/>
    <s v="Small"/>
    <s v="High"/>
  </r>
  <r>
    <s v="ORD-0492"/>
    <s v="2025-05-16"/>
    <s v="Frank Ng"/>
    <x v="2"/>
    <s v="VPN License (1yr)"/>
    <s v="Software"/>
    <n v="9"/>
    <n v="49.99"/>
    <n v="449.91"/>
    <n v="0"/>
    <n v="449.91"/>
    <s v="Completed"/>
    <n v="449.91"/>
    <n v="399.92"/>
    <s v="May"/>
    <n v="-399.92"/>
    <n v="0.88888888888888884"/>
    <n v="49.99"/>
    <s v="Small"/>
    <s v="Low"/>
  </r>
  <r>
    <s v="ORD-0449"/>
    <s v="2025-05-18"/>
    <s v="Iris Patel"/>
    <x v="1"/>
    <s v="Standing Desk"/>
    <s v="Furniture"/>
    <n v="14"/>
    <n v="549"/>
    <n v="7686"/>
    <n v="15"/>
    <n v="6533.0999999999995"/>
    <s v="Completed"/>
    <n v="7686"/>
    <n v="7137"/>
    <s v="May"/>
    <n v="-5984.0999999999995"/>
    <n v="1.0924369747899161"/>
    <n v="466.65"/>
    <s v="Large"/>
    <s v="Low"/>
  </r>
  <r>
    <s v="ORD-0216"/>
    <s v="2025-05-19"/>
    <s v="Henry Wu"/>
    <x v="0"/>
    <s v="Monitor 32&quot;"/>
    <s v="Electronics"/>
    <n v="4"/>
    <n v="599"/>
    <n v="2396"/>
    <n v="5"/>
    <n v="2276.1999999999998"/>
    <s v="Completed"/>
    <n v="2396"/>
    <n v="1797"/>
    <s v="May"/>
    <n v="-1677.1999999999998"/>
    <n v="0.78947368421052633"/>
    <n v="569.04999999999995"/>
    <s v="Small"/>
    <s v="High"/>
  </r>
  <r>
    <s v="ORD-0319"/>
    <s v="2025-05-19"/>
    <s v="Henry Wu"/>
    <x v="0"/>
    <s v="Design Suite License"/>
    <s v="Software"/>
    <n v="16"/>
    <n v="299"/>
    <n v="4784"/>
    <n v="0"/>
    <n v="4784"/>
    <s v="Completed"/>
    <n v="4784"/>
    <n v="4485"/>
    <s v="May"/>
    <n v="-4485"/>
    <n v="0.9375"/>
    <n v="299"/>
    <s v="Large"/>
    <s v="High"/>
  </r>
  <r>
    <s v="ORD-0335"/>
    <s v="2025-05-21"/>
    <s v="Frank Ng"/>
    <x v="2"/>
    <s v="Ergonomic Chair"/>
    <s v="Furniture"/>
    <n v="25"/>
    <n v="299"/>
    <n v="7475"/>
    <n v="0"/>
    <n v="7475"/>
    <s v="Completed"/>
    <n v="7475"/>
    <n v="7176"/>
    <s v="May"/>
    <n v="-7176"/>
    <n v="0.96"/>
    <n v="299"/>
    <s v="Large"/>
    <s v="High"/>
  </r>
  <r>
    <s v="ORD-0467"/>
    <s v="2025-05-21"/>
    <s v="Alice Johnson"/>
    <x v="1"/>
    <s v="VPN License (1yr)"/>
    <s v="Software"/>
    <n v="1"/>
    <n v="49.99"/>
    <n v="49.99"/>
    <n v="10"/>
    <n v="44.991"/>
    <s v="Pending"/>
    <n v="49.99"/>
    <n v="0"/>
    <s v="May"/>
    <n v="4.9990000000000023"/>
    <n v="0"/>
    <n v="44.991"/>
    <s v="Small"/>
    <s v="High"/>
  </r>
  <r>
    <s v="ORD-0298"/>
    <s v="2025-05-22"/>
    <s v="Iris Patel"/>
    <x v="1"/>
    <s v="Standing Desk"/>
    <s v="Furniture"/>
    <n v="6"/>
    <n v="549"/>
    <n v="3294"/>
    <n v="5"/>
    <n v="3129.2999999999997"/>
    <s v="Completed"/>
    <n v="3294"/>
    <n v="2745"/>
    <s v="May"/>
    <n v="-2580.2999999999997"/>
    <n v="0.87719298245614041"/>
    <n v="521.54999999999995"/>
    <s v="Small"/>
    <s v="Low"/>
  </r>
  <r>
    <s v="ORD-0379"/>
    <s v="2025-05-24"/>
    <s v="Iris Patel"/>
    <x v="1"/>
    <s v="Ergonomic Chair"/>
    <s v="Furniture"/>
    <n v="5"/>
    <n v="299"/>
    <n v="1495"/>
    <n v="15"/>
    <n v="1270.75"/>
    <s v="Completed"/>
    <n v="1495"/>
    <n v="1196"/>
    <s v="May"/>
    <n v="-971.75"/>
    <n v="0.94117647058823528"/>
    <n v="254.15"/>
    <s v="Small"/>
    <s v="High"/>
  </r>
  <r>
    <s v="ORD-0441"/>
    <s v="2025-05-24"/>
    <s v="David Kim"/>
    <x v="2"/>
    <s v="Whiteboard"/>
    <s v="Furniture"/>
    <n v="7"/>
    <n v="129"/>
    <n v="903"/>
    <n v="0"/>
    <n v="903"/>
    <s v="Completed"/>
    <n v="903"/>
    <n v="774"/>
    <s v="May"/>
    <n v="-774"/>
    <n v="0.8571428571428571"/>
    <n v="129"/>
    <s v="Small"/>
    <s v="High"/>
  </r>
  <r>
    <s v="ORD-0177"/>
    <s v="2025-05-29"/>
    <s v="Henry Wu"/>
    <x v="0"/>
    <s v="Wireless Mouse"/>
    <s v="Accessories"/>
    <n v="15"/>
    <n v="29.99"/>
    <n v="449.84999999999997"/>
    <n v="15"/>
    <n v="382.37249999999995"/>
    <s v="Completed"/>
    <n v="449.84999999999997"/>
    <n v="419.85999999999996"/>
    <s v="May"/>
    <n v="-352.38249999999994"/>
    <n v="1.0980392156862746"/>
    <n v="25.491499999999995"/>
    <s v="Large"/>
    <s v="Low"/>
  </r>
  <r>
    <s v="ORD-0226"/>
    <s v="2025-05-29"/>
    <s v="Carol Lee"/>
    <x v="0"/>
    <s v="Filing Cabinet"/>
    <s v="Furniture"/>
    <n v="1"/>
    <n v="169"/>
    <n v="169"/>
    <n v="5"/>
    <n v="160.54999999999998"/>
    <s v="Completed"/>
    <n v="169"/>
    <n v="0"/>
    <s v="May"/>
    <n v="8.4500000000000171"/>
    <n v="0"/>
    <n v="160.54999999999998"/>
    <s v="Small"/>
    <s v="Low"/>
  </r>
  <r>
    <s v="ORD-0498"/>
    <s v="2025-05-30"/>
    <s v="Eve Torres"/>
    <x v="3"/>
    <s v="USB-C Hub"/>
    <s v="Accessories"/>
    <n v="9"/>
    <n v="49.99"/>
    <n v="449.91"/>
    <n v="12"/>
    <n v="395.92080000000004"/>
    <s v="Completed"/>
    <n v="449.91"/>
    <n v="399.92"/>
    <s v="May"/>
    <n v="-345.93080000000003"/>
    <n v="1.0101010101010099"/>
    <n v="43.991200000000006"/>
    <s v="Small"/>
    <s v="Low"/>
  </r>
  <r>
    <s v="ORD-0385"/>
    <s v="2025-06-01"/>
    <s v="Henry Wu"/>
    <x v="0"/>
    <s v="Webcam 4K"/>
    <s v="Electronics"/>
    <n v="17"/>
    <n v="149.99"/>
    <n v="2549.83"/>
    <n v="10"/>
    <n v="2294.8470000000002"/>
    <s v="Pending"/>
    <n v="2549.83"/>
    <n v="2399.84"/>
    <s v="June"/>
    <n v="-2144.857"/>
    <n v="1.0457516339869282"/>
    <n v="134.99100000000001"/>
    <s v="Large"/>
    <s v="Low"/>
  </r>
  <r>
    <s v="ORD-0180"/>
    <s v="2025-06-02"/>
    <s v="Eve Torres"/>
    <x v="3"/>
    <s v="Cloud Backup (1yr)"/>
    <s v="Software"/>
    <n v="10"/>
    <n v="99"/>
    <n v="990"/>
    <n v="12"/>
    <n v="871.2"/>
    <s v="Completed"/>
    <n v="990"/>
    <n v="891"/>
    <s v="June"/>
    <n v="-772.2"/>
    <n v="1.0227272727272727"/>
    <n v="87.12"/>
    <s v="Large"/>
    <s v="High"/>
  </r>
  <r>
    <s v="ORD-0127"/>
    <s v="2025-06-06"/>
    <s v="Grace Park"/>
    <x v="1"/>
    <s v="Monitor Arm"/>
    <s v="Accessories"/>
    <n v="21"/>
    <n v="79.989999999999995"/>
    <n v="1679.79"/>
    <n v="12"/>
    <n v="1478.2151999999999"/>
    <s v="Completed"/>
    <n v="1679.79"/>
    <n v="1599.8"/>
    <s v="June"/>
    <n v="-1398.2251999999999"/>
    <n v="1.0822510822510822"/>
    <n v="70.391199999999998"/>
    <s v="Large"/>
    <s v="Low"/>
  </r>
  <r>
    <s v="ORD-0350"/>
    <s v="2025-06-06"/>
    <s v="Iris Patel"/>
    <x v="1"/>
    <s v="Laptop Pro 13"/>
    <s v="Electronics"/>
    <n v="27"/>
    <n v="999"/>
    <n v="26973"/>
    <n v="0"/>
    <n v="26973"/>
    <s v="Completed"/>
    <n v="26973"/>
    <n v="25974"/>
    <s v="June"/>
    <n v="-25974"/>
    <n v="0.96296296296296291"/>
    <n v="999"/>
    <s v="Large"/>
    <s v="High"/>
  </r>
  <r>
    <s v="ORD-0419"/>
    <s v="2025-06-06"/>
    <s v="David Kim"/>
    <x v="2"/>
    <s v="Wireless Mouse"/>
    <s v="Accessories"/>
    <n v="5"/>
    <n v="29.99"/>
    <n v="149.94999999999999"/>
    <n v="12"/>
    <n v="131.95599999999999"/>
    <s v="Completed"/>
    <n v="149.94999999999999"/>
    <n v="119.96"/>
    <s v="June"/>
    <n v="-101.96599999999999"/>
    <n v="0.90909090909090917"/>
    <n v="26.391199999999998"/>
    <s v="Small"/>
    <s v="High"/>
  </r>
  <r>
    <s v="ORD-0290"/>
    <s v="2025-06-08"/>
    <s v="Henry Wu"/>
    <x v="0"/>
    <s v="Noise Cancelling Headphones"/>
    <s v="Electronics"/>
    <n v="8"/>
    <n v="249"/>
    <n v="1992"/>
    <n v="0"/>
    <n v="1992"/>
    <s v="Completed"/>
    <n v="1992"/>
    <n v="1743"/>
    <s v="June"/>
    <n v="-1743"/>
    <n v="0.875"/>
    <n v="249"/>
    <s v="Small"/>
    <s v="Low"/>
  </r>
  <r>
    <s v="ORD-0152"/>
    <s v="2025-06-10"/>
    <s v="David Kim"/>
    <x v="2"/>
    <s v="Mechanical Keyboard"/>
    <s v="Accessories"/>
    <n v="22"/>
    <n v="89.99"/>
    <n v="1979.78"/>
    <n v="0"/>
    <n v="1979.78"/>
    <s v="Completed"/>
    <n v="1979.78"/>
    <n v="1889.79"/>
    <s v="June"/>
    <n v="-1889.79"/>
    <n v="0.95454545454545459"/>
    <n v="89.99"/>
    <s v="Large"/>
    <s v="High"/>
  </r>
  <r>
    <s v="ORD-0025"/>
    <s v="2025-06-11"/>
    <s v="Frank Ng"/>
    <x v="2"/>
    <s v="Monitor 32&quot;"/>
    <s v="Electronics"/>
    <n v="10"/>
    <n v="599"/>
    <n v="5990"/>
    <n v="10"/>
    <n v="5391"/>
    <s v="Completed"/>
    <n v="5990"/>
    <n v="5391"/>
    <s v="June"/>
    <n v="-4792"/>
    <n v="1"/>
    <n v="539.1"/>
    <s v="Large"/>
    <s v="High"/>
  </r>
  <r>
    <s v="ORD-0300"/>
    <s v="2025-06-14"/>
    <s v="Iris Patel"/>
    <x v="1"/>
    <s v="Monitor 32&quot;"/>
    <s v="Electronics"/>
    <n v="10"/>
    <n v="599"/>
    <n v="5990"/>
    <n v="0"/>
    <n v="5990"/>
    <s v="Completed"/>
    <n v="5990"/>
    <n v="5391"/>
    <s v="June"/>
    <n v="-5391"/>
    <n v="0.9"/>
    <n v="599"/>
    <s v="Large"/>
    <s v="High"/>
  </r>
  <r>
    <s v="ORD-0121"/>
    <s v="2025-06-17"/>
    <s v="Frank Ng"/>
    <x v="2"/>
    <s v="Webcam 4K"/>
    <s v="Electronics"/>
    <n v="20"/>
    <n v="149.99"/>
    <n v="2999.8"/>
    <n v="0"/>
    <n v="2999.8"/>
    <s v="Completed"/>
    <n v="2999.8"/>
    <n v="2849.8100000000004"/>
    <s v="June"/>
    <n v="-2849.8100000000004"/>
    <n v="0.95000000000000007"/>
    <n v="149.99"/>
    <s v="Large"/>
    <s v="High"/>
  </r>
  <r>
    <s v="ORD-0497"/>
    <s v="2025-06-23"/>
    <s v="Iris Patel"/>
    <x v="1"/>
    <s v="Webcam 4K"/>
    <s v="Electronics"/>
    <n v="22"/>
    <n v="149.99"/>
    <n v="3299.78"/>
    <n v="10"/>
    <n v="2969.8020000000001"/>
    <s v="Completed"/>
    <n v="3299.78"/>
    <n v="3149.79"/>
    <s v="June"/>
    <n v="-2819.8119999999999"/>
    <n v="1.0606060606060606"/>
    <n v="134.99100000000001"/>
    <s v="Large"/>
    <s v="High"/>
  </r>
  <r>
    <s v="ORD-0014"/>
    <s v="2025-06-25"/>
    <s v="Eve Torres"/>
    <x v="3"/>
    <s v="Design Suite License"/>
    <s v="Software"/>
    <n v="30"/>
    <n v="299"/>
    <n v="8970"/>
    <n v="0"/>
    <n v="8970"/>
    <s v="Completed"/>
    <n v="8970"/>
    <n v="8671"/>
    <s v="June"/>
    <n v="-8671"/>
    <n v="0.96666666666666667"/>
    <n v="299"/>
    <s v="Large"/>
    <s v="High"/>
  </r>
  <r>
    <s v="ORD-0354"/>
    <s v="2025-06-25"/>
    <s v="Carol Lee"/>
    <x v="0"/>
    <s v="Bookshelf"/>
    <s v="Furniture"/>
    <n v="19"/>
    <n v="199"/>
    <n v="3781"/>
    <n v="0"/>
    <n v="3781"/>
    <s v="Pending"/>
    <n v="3781"/>
    <n v="3582"/>
    <s v="June"/>
    <n v="-3582"/>
    <n v="0.94736842105263153"/>
    <n v="199"/>
    <s v="Large"/>
    <s v="High"/>
  </r>
  <r>
    <s v="ORD-0390"/>
    <s v="2025-06-27"/>
    <s v="Henry Wu"/>
    <x v="0"/>
    <s v="Desk Lamp"/>
    <s v="Furniture"/>
    <n v="13"/>
    <n v="39.99"/>
    <n v="519.87"/>
    <n v="8"/>
    <n v="478.28040000000004"/>
    <s v="Completed"/>
    <n v="519.87"/>
    <n v="479.88"/>
    <s v="June"/>
    <n v="-438.29040000000003"/>
    <n v="1.0033444816053512"/>
    <n v="36.790800000000004"/>
    <s v="Large"/>
    <s v="High"/>
  </r>
  <r>
    <s v="ORD-0318"/>
    <s v="2025-06-29"/>
    <s v="Alice Johnson"/>
    <x v="1"/>
    <s v="Monitor Arm"/>
    <s v="Accessories"/>
    <n v="18"/>
    <n v="79.989999999999995"/>
    <n v="1439.82"/>
    <n v="8"/>
    <n v="1324.6343999999999"/>
    <s v="Cancelled"/>
    <n v="1439.82"/>
    <n v="1359.83"/>
    <s v="June"/>
    <n v="-1244.6443999999999"/>
    <n v="1.0265700483091789"/>
    <n v="73.590800000000002"/>
    <s v="Large"/>
    <s v="Low"/>
  </r>
  <r>
    <s v="ORD-0411"/>
    <s v="2025-06-29"/>
    <s v="Frank Ng"/>
    <x v="2"/>
    <s v="USB-C Hub"/>
    <s v="Accessories"/>
    <n v="19"/>
    <n v="49.99"/>
    <n v="949.81000000000006"/>
    <n v="5"/>
    <n v="902.31950000000006"/>
    <s v="Completed"/>
    <n v="949.81000000000006"/>
    <n v="899.82"/>
    <s v="June"/>
    <n v="-852.32950000000005"/>
    <n v="0.99722991689750695"/>
    <n v="47.490500000000004"/>
    <s v="Large"/>
    <s v="High"/>
  </r>
  <r>
    <s v="ORD-0444"/>
    <s v="2025-06-29"/>
    <s v="Eve Torres"/>
    <x v="3"/>
    <s v="Mechanical Keyboard"/>
    <s v="Accessories"/>
    <n v="2"/>
    <n v="89.99"/>
    <n v="179.98"/>
    <n v="15"/>
    <n v="152.98299999999998"/>
    <s v="Pending"/>
    <n v="179.98"/>
    <n v="89.99"/>
    <s v="June"/>
    <n v="-62.992999999999981"/>
    <n v="0.58823529411764708"/>
    <n v="76.491499999999988"/>
    <s v="Small"/>
    <s v="Low"/>
  </r>
  <r>
    <s v="ORD-0072"/>
    <s v="2025-07-01"/>
    <s v="Carol Lee"/>
    <x v="0"/>
    <s v="Wireless Mouse"/>
    <s v="Accessories"/>
    <n v="28"/>
    <n v="29.99"/>
    <n v="839.71999999999991"/>
    <n v="0"/>
    <n v="839.71999999999991"/>
    <s v="Completed"/>
    <n v="839.71999999999991"/>
    <n v="809.7299999999999"/>
    <s v="July"/>
    <n v="-809.7299999999999"/>
    <n v="0.9642857142857143"/>
    <n v="29.99"/>
    <s v="Large"/>
    <s v="Low"/>
  </r>
  <r>
    <s v="ORD-0271"/>
    <s v="2025-07-01"/>
    <s v="Carol Lee"/>
    <x v="0"/>
    <s v="Filing Cabinet"/>
    <s v="Furniture"/>
    <n v="5"/>
    <n v="169"/>
    <n v="845"/>
    <n v="0"/>
    <n v="845"/>
    <s v="Cancelled"/>
    <n v="845"/>
    <n v="676"/>
    <s v="July"/>
    <n v="-676"/>
    <n v="0.8"/>
    <n v="169"/>
    <s v="Small"/>
    <s v="Low"/>
  </r>
  <r>
    <s v="ORD-0142"/>
    <s v="2025-07-03"/>
    <s v="David Kim"/>
    <x v="2"/>
    <s v="USB-C Hub"/>
    <s v="Accessories"/>
    <n v="8"/>
    <n v="49.99"/>
    <n v="399.92"/>
    <n v="8"/>
    <n v="367.92640000000006"/>
    <s v="Completed"/>
    <n v="399.92"/>
    <n v="349.93"/>
    <s v="July"/>
    <n v="-317.93640000000005"/>
    <n v="0.95108695652173902"/>
    <n v="45.990800000000007"/>
    <s v="Small"/>
    <s v="Low"/>
  </r>
  <r>
    <s v="ORD-0472"/>
    <s v="2025-07-03"/>
    <s v="Iris Patel"/>
    <x v="1"/>
    <s v="Design Suite License"/>
    <s v="Software"/>
    <n v="22"/>
    <n v="299"/>
    <n v="6578"/>
    <n v="10"/>
    <n v="5920.2"/>
    <s v="Completed"/>
    <n v="6578"/>
    <n v="6279"/>
    <s v="July"/>
    <n v="-5621.2"/>
    <n v="1.0606060606060606"/>
    <n v="269.09999999999997"/>
    <s v="Large"/>
    <s v="Low"/>
  </r>
  <r>
    <s v="ORD-0193"/>
    <s v="2025-07-04"/>
    <s v="Carol Lee"/>
    <x v="0"/>
    <s v="Wireless Mouse"/>
    <s v="Accessories"/>
    <n v="17"/>
    <n v="29.99"/>
    <n v="509.83"/>
    <n v="10"/>
    <n v="458.84699999999998"/>
    <s v="Completed"/>
    <n v="509.83"/>
    <n v="479.84"/>
    <s v="July"/>
    <n v="-428.85699999999997"/>
    <n v="1.0457516339869282"/>
    <n v="26.991"/>
    <s v="Large"/>
    <s v="High"/>
  </r>
  <r>
    <s v="ORD-0113"/>
    <s v="2025-07-06"/>
    <s v="Grace Park"/>
    <x v="1"/>
    <s v="Webcam HD"/>
    <s v="Electronics"/>
    <n v="28"/>
    <n v="79.989999999999995"/>
    <n v="2239.7199999999998"/>
    <n v="12"/>
    <n v="1970.9535999999998"/>
    <s v="Completed"/>
    <n v="2239.7199999999998"/>
    <n v="2159.73"/>
    <s v="July"/>
    <n v="-1890.9635999999998"/>
    <n v="1.095779220779221"/>
    <n v="70.391199999999998"/>
    <s v="Large"/>
    <s v="Low"/>
  </r>
  <r>
    <s v="ORD-0052"/>
    <s v="2025-07-10"/>
    <s v="Carol Lee"/>
    <x v="0"/>
    <s v="Laptop Pro 13"/>
    <s v="Electronics"/>
    <n v="17"/>
    <n v="999"/>
    <n v="16983"/>
    <n v="0"/>
    <n v="16983"/>
    <s v="Completed"/>
    <n v="16983"/>
    <n v="15984"/>
    <s v="July"/>
    <n v="-15984"/>
    <n v="0.94117647058823528"/>
    <n v="999"/>
    <s v="Large"/>
    <s v="High"/>
  </r>
  <r>
    <s v="ORD-0410"/>
    <s v="2025-07-10"/>
    <s v="Carol Lee"/>
    <x v="0"/>
    <s v="Cloud Backup (1yr)"/>
    <s v="Software"/>
    <n v="15"/>
    <n v="99"/>
    <n v="1485"/>
    <n v="5"/>
    <n v="1410.75"/>
    <s v="Completed"/>
    <n v="1485"/>
    <n v="1386"/>
    <s v="July"/>
    <n v="-1311.75"/>
    <n v="0.98245614035087714"/>
    <n v="94.05"/>
    <s v="Large"/>
    <s v="High"/>
  </r>
  <r>
    <s v="ORD-0313"/>
    <s v="2025-07-11"/>
    <s v="James Rivera"/>
    <x v="3"/>
    <s v="Monitor Arm"/>
    <s v="Accessories"/>
    <n v="8"/>
    <n v="79.989999999999995"/>
    <n v="639.91999999999996"/>
    <n v="10"/>
    <n v="575.928"/>
    <s v="Pending"/>
    <n v="639.91999999999996"/>
    <n v="559.92999999999995"/>
    <s v="July"/>
    <n v="-495.93799999999999"/>
    <n v="0.9722222222222221"/>
    <n v="71.991"/>
    <s v="Small"/>
    <s v="High"/>
  </r>
  <r>
    <s v="ORD-0322"/>
    <s v="2025-07-15"/>
    <s v="Iris Patel"/>
    <x v="1"/>
    <s v="Office Chair"/>
    <s v="Furniture"/>
    <n v="9"/>
    <n v="449"/>
    <n v="4041"/>
    <n v="0"/>
    <n v="4041"/>
    <s v="Completed"/>
    <n v="4041"/>
    <n v="3592"/>
    <s v="July"/>
    <n v="-3592"/>
    <n v="0.88888888888888884"/>
    <n v="449"/>
    <s v="Small"/>
    <s v="Low"/>
  </r>
  <r>
    <s v="ORD-0386"/>
    <s v="2025-07-15"/>
    <s v="David Kim"/>
    <x v="2"/>
    <s v="Laptop Pro 13"/>
    <s v="Electronics"/>
    <n v="19"/>
    <n v="999"/>
    <n v="18981"/>
    <n v="0"/>
    <n v="18981"/>
    <s v="Completed"/>
    <n v="18981"/>
    <n v="17982"/>
    <s v="July"/>
    <n v="-17982"/>
    <n v="0.94736842105263153"/>
    <n v="999"/>
    <s v="Large"/>
    <s v="High"/>
  </r>
  <r>
    <s v="ORD-0010"/>
    <s v="2025-07-16"/>
    <s v="Eve Torres"/>
    <x v="3"/>
    <s v="Antivirus Suite (1yr)"/>
    <s v="Software"/>
    <n v="20"/>
    <n v="59.99"/>
    <n v="1199.8"/>
    <n v="8"/>
    <n v="1103.816"/>
    <s v="Pending"/>
    <n v="1199.8"/>
    <n v="1139.81"/>
    <s v="July"/>
    <n v="-1043.826"/>
    <n v="1.0326086956521738"/>
    <n v="55.190800000000003"/>
    <s v="Large"/>
    <s v="High"/>
  </r>
  <r>
    <s v="ORD-0140"/>
    <s v="2025-07-16"/>
    <s v="Iris Patel"/>
    <x v="1"/>
    <s v="VPN License (1yr)"/>
    <s v="Software"/>
    <n v="23"/>
    <n v="49.99"/>
    <n v="1149.77"/>
    <n v="0"/>
    <n v="1149.77"/>
    <s v="Completed"/>
    <n v="1149.77"/>
    <n v="1099.78"/>
    <s v="July"/>
    <n v="-1099.78"/>
    <n v="0.95652173913043481"/>
    <n v="49.99"/>
    <s v="Large"/>
    <s v="High"/>
  </r>
  <r>
    <s v="ORD-0473"/>
    <s v="2025-07-16"/>
    <s v="Bob Smith"/>
    <x v="3"/>
    <s v="Desk Lamp"/>
    <s v="Furniture"/>
    <n v="5"/>
    <n v="39.99"/>
    <n v="199.95000000000002"/>
    <n v="5"/>
    <n v="189.95250000000001"/>
    <s v="Completed"/>
    <n v="199.95000000000002"/>
    <n v="159.96"/>
    <s v="July"/>
    <n v="-149.96250000000001"/>
    <n v="0.84210526315789469"/>
    <n v="37.990500000000004"/>
    <s v="Small"/>
    <s v="High"/>
  </r>
  <r>
    <s v="ORD-0296"/>
    <s v="2025-07-18"/>
    <s v="David Kim"/>
    <x v="2"/>
    <s v="USB-C Hub"/>
    <s v="Accessories"/>
    <n v="26"/>
    <n v="49.99"/>
    <n v="1299.74"/>
    <n v="12"/>
    <n v="1143.7711999999999"/>
    <s v="Completed"/>
    <n v="1299.74"/>
    <n v="1249.75"/>
    <s v="July"/>
    <n v="-1093.7811999999999"/>
    <n v="1.0926573426573427"/>
    <n v="43.991199999999999"/>
    <s v="Large"/>
    <s v="Low"/>
  </r>
  <r>
    <s v="ORD-0082"/>
    <s v="2025-07-21"/>
    <s v="Grace Park"/>
    <x v="1"/>
    <s v="Laptop Pro 15"/>
    <s v="Electronics"/>
    <n v="17"/>
    <n v="1299"/>
    <n v="22083"/>
    <n v="15"/>
    <n v="18770.55"/>
    <s v="Completed"/>
    <n v="22083"/>
    <n v="20784"/>
    <s v="July"/>
    <n v="-17471.55"/>
    <n v="1.1072664359861593"/>
    <n v="1104.1499999999999"/>
    <s v="Large"/>
    <s v="High"/>
  </r>
  <r>
    <s v="ORD-0004"/>
    <s v="2025-07-23"/>
    <s v="Iris Patel"/>
    <x v="1"/>
    <s v="Filing Cabinet"/>
    <s v="Furniture"/>
    <n v="1"/>
    <n v="169"/>
    <n v="169"/>
    <n v="15"/>
    <n v="143.65"/>
    <s v="Pending"/>
    <n v="169"/>
    <n v="0"/>
    <s v="July"/>
    <n v="25.349999999999994"/>
    <n v="0"/>
    <n v="143.65"/>
    <s v="Small"/>
    <s v="High"/>
  </r>
  <r>
    <s v="ORD-0118"/>
    <s v="2025-07-24"/>
    <s v="Alice Johnson"/>
    <x v="1"/>
    <s v="VPN License (1yr)"/>
    <s v="Software"/>
    <n v="1"/>
    <n v="49.99"/>
    <n v="49.99"/>
    <n v="5"/>
    <n v="47.490499999999997"/>
    <s v="Completed"/>
    <n v="49.99"/>
    <n v="0"/>
    <s v="July"/>
    <n v="2.4995000000000047"/>
    <n v="0"/>
    <n v="47.490499999999997"/>
    <s v="Small"/>
    <s v="Low"/>
  </r>
  <r>
    <s v="ORD-0339"/>
    <s v="2025-07-24"/>
    <s v="James Rivera"/>
    <x v="3"/>
    <s v="USB-C Hub"/>
    <s v="Accessories"/>
    <n v="23"/>
    <n v="49.99"/>
    <n v="1149.77"/>
    <n v="12"/>
    <n v="1011.7976"/>
    <s v="Completed"/>
    <n v="1149.77"/>
    <n v="1099.78"/>
    <s v="July"/>
    <n v="-961.80759999999998"/>
    <n v="1.0869565217391304"/>
    <n v="43.991199999999999"/>
    <s v="Large"/>
    <s v="Low"/>
  </r>
  <r>
    <s v="ORD-0360"/>
    <s v="2025-07-28"/>
    <s v="Henry Wu"/>
    <x v="0"/>
    <s v="Standing Desk"/>
    <s v="Furniture"/>
    <n v="16"/>
    <n v="549"/>
    <n v="8784"/>
    <n v="12"/>
    <n v="7729.92"/>
    <s v="Completed"/>
    <n v="8784"/>
    <n v="8235"/>
    <s v="July"/>
    <n v="-7180.92"/>
    <n v="1.0653409090909092"/>
    <n v="483.12"/>
    <s v="Large"/>
    <s v="High"/>
  </r>
  <r>
    <s v="ORD-0151"/>
    <s v="2025-08-01"/>
    <s v="James Rivera"/>
    <x v="3"/>
    <s v="Laptop Pro 13"/>
    <s v="Electronics"/>
    <n v="20"/>
    <n v="999"/>
    <n v="19980"/>
    <n v="0"/>
    <n v="19980"/>
    <s v="Pending"/>
    <n v="19980"/>
    <n v="18981"/>
    <s v="August"/>
    <n v="-18981"/>
    <n v="0.95"/>
    <n v="999"/>
    <s v="Large"/>
    <s v="High"/>
  </r>
  <r>
    <s v="ORD-0013"/>
    <s v="2025-08-03"/>
    <s v="Frank Ng"/>
    <x v="2"/>
    <s v="Webcam 4K"/>
    <s v="Electronics"/>
    <n v="12"/>
    <n v="149.99"/>
    <n v="1799.88"/>
    <n v="8"/>
    <n v="1655.8896000000002"/>
    <s v="Pending"/>
    <n v="1799.88"/>
    <n v="1649.89"/>
    <s v="August"/>
    <n v="-1505.8996000000002"/>
    <n v="0.99637681159420288"/>
    <n v="137.99080000000001"/>
    <s v="Large"/>
    <s v="High"/>
  </r>
  <r>
    <s v="ORD-0063"/>
    <s v="2025-08-04"/>
    <s v="Iris Patel"/>
    <x v="1"/>
    <s v="Webcam HD"/>
    <s v="Electronics"/>
    <n v="9"/>
    <n v="79.989999999999995"/>
    <n v="719.91"/>
    <n v="5"/>
    <n v="683.91449999999998"/>
    <s v="Pending"/>
    <n v="719.91"/>
    <n v="639.91999999999996"/>
    <s v="August"/>
    <n v="-603.92449999999997"/>
    <n v="0.93567251461988299"/>
    <n v="75.990499999999997"/>
    <s v="Small"/>
    <s v="High"/>
  </r>
  <r>
    <s v="ORD-0087"/>
    <s v="2025-08-04"/>
    <s v="Iris Patel"/>
    <x v="1"/>
    <s v="Laptop Pro 15"/>
    <s v="Electronics"/>
    <n v="10"/>
    <n v="1299"/>
    <n v="12990"/>
    <n v="5"/>
    <n v="12340.5"/>
    <s v="Completed"/>
    <n v="12990"/>
    <n v="11691"/>
    <s v="August"/>
    <n v="-11041.5"/>
    <n v="0.94736842105263153"/>
    <n v="1234.05"/>
    <s v="Large"/>
    <s v="Low"/>
  </r>
  <r>
    <s v="ORD-0356"/>
    <s v="2025-08-04"/>
    <s v="Bob Smith"/>
    <x v="3"/>
    <s v="Laptop Pro 13"/>
    <s v="Electronics"/>
    <n v="21"/>
    <n v="999"/>
    <n v="20979"/>
    <n v="5"/>
    <n v="19930.05"/>
    <s v="Cancelled"/>
    <n v="20979"/>
    <n v="19980"/>
    <s v="August"/>
    <n v="-18931.05"/>
    <n v="1.0025062656641603"/>
    <n v="949.05"/>
    <s v="Large"/>
    <s v="High"/>
  </r>
  <r>
    <s v="ORD-0454"/>
    <s v="2025-08-05"/>
    <s v="David Kim"/>
    <x v="2"/>
    <s v="Laptop Stand"/>
    <s v="Accessories"/>
    <n v="10"/>
    <n v="59.99"/>
    <n v="599.9"/>
    <n v="0"/>
    <n v="599.9"/>
    <s v="Completed"/>
    <n v="599.9"/>
    <n v="539.91"/>
    <s v="August"/>
    <n v="-539.91"/>
    <n v="0.9"/>
    <n v="59.989999999999995"/>
    <s v="Large"/>
    <s v="High"/>
  </r>
  <r>
    <s v="ORD-0132"/>
    <s v="2025-08-06"/>
    <s v="Henry Wu"/>
    <x v="0"/>
    <s v="Laptop Stand"/>
    <s v="Accessories"/>
    <n v="6"/>
    <n v="59.99"/>
    <n v="359.94"/>
    <n v="12"/>
    <n v="316.74720000000002"/>
    <s v="Completed"/>
    <n v="359.94"/>
    <n v="299.95"/>
    <s v="August"/>
    <n v="-256.75720000000001"/>
    <n v="0.94696969696969691"/>
    <n v="52.791200000000003"/>
    <s v="Small"/>
    <s v="Low"/>
  </r>
  <r>
    <s v="ORD-0058"/>
    <s v="2025-08-07"/>
    <s v="James Rivera"/>
    <x v="3"/>
    <s v="Bookshelf"/>
    <s v="Furniture"/>
    <n v="4"/>
    <n v="199"/>
    <n v="796"/>
    <n v="0"/>
    <n v="796"/>
    <s v="Completed"/>
    <n v="796"/>
    <n v="597"/>
    <s v="August"/>
    <n v="-597"/>
    <n v="0.75"/>
    <n v="199"/>
    <s v="Small"/>
    <s v="Low"/>
  </r>
  <r>
    <s v="ORD-0039"/>
    <s v="2025-08-08"/>
    <s v="Iris Patel"/>
    <x v="1"/>
    <s v="Wireless Mouse"/>
    <s v="Accessories"/>
    <n v="9"/>
    <n v="29.99"/>
    <n v="269.90999999999997"/>
    <n v="12"/>
    <n v="237.52079999999998"/>
    <s v="Completed"/>
    <n v="269.90999999999997"/>
    <n v="239.91999999999996"/>
    <s v="August"/>
    <n v="-207.53079999999997"/>
    <n v="1.0101010101010099"/>
    <n v="26.391199999999998"/>
    <s v="Small"/>
    <s v="Low"/>
  </r>
  <r>
    <s v="ORD-0104"/>
    <s v="2025-08-08"/>
    <s v="Carol Lee"/>
    <x v="0"/>
    <s v="Wireless Mouse"/>
    <s v="Accessories"/>
    <n v="13"/>
    <n v="29.99"/>
    <n v="389.87"/>
    <n v="0"/>
    <n v="389.87"/>
    <s v="Completed"/>
    <n v="389.87"/>
    <n v="359.88"/>
    <s v="August"/>
    <n v="-359.88"/>
    <n v="0.92307692307692302"/>
    <n v="29.990000000000002"/>
    <s v="Large"/>
    <s v="Low"/>
  </r>
  <r>
    <s v="ORD-0289"/>
    <s v="2025-08-08"/>
    <s v="Alice Johnson"/>
    <x v="1"/>
    <s v="Monitor Arm"/>
    <s v="Accessories"/>
    <n v="10"/>
    <n v="79.989999999999995"/>
    <n v="799.9"/>
    <n v="0"/>
    <n v="799.9"/>
    <s v="Completed"/>
    <n v="799.9"/>
    <n v="719.91"/>
    <s v="August"/>
    <n v="-719.91"/>
    <n v="0.9"/>
    <n v="79.989999999999995"/>
    <s v="Large"/>
    <s v="Low"/>
  </r>
  <r>
    <s v="ORD-0397"/>
    <s v="2025-08-08"/>
    <s v="Henry Wu"/>
    <x v="0"/>
    <s v="Antivirus Suite (1yr)"/>
    <s v="Software"/>
    <n v="9"/>
    <n v="59.99"/>
    <n v="539.91"/>
    <n v="12"/>
    <n v="475.12079999999997"/>
    <s v="Completed"/>
    <n v="539.91"/>
    <n v="479.91999999999996"/>
    <s v="August"/>
    <n v="-415.13079999999997"/>
    <n v="1.0101010101010102"/>
    <n v="52.791199999999996"/>
    <s v="Small"/>
    <s v="Low"/>
  </r>
  <r>
    <s v="ORD-0238"/>
    <s v="2025-08-09"/>
    <s v="Grace Park"/>
    <x v="1"/>
    <s v="Monitor 32&quot;"/>
    <s v="Electronics"/>
    <n v="26"/>
    <n v="599"/>
    <n v="15574"/>
    <n v="0"/>
    <n v="15574"/>
    <s v="Completed"/>
    <n v="15574"/>
    <n v="14975"/>
    <s v="August"/>
    <n v="-14975"/>
    <n v="0.96153846153846156"/>
    <n v="599"/>
    <s v="Large"/>
    <s v="Low"/>
  </r>
  <r>
    <s v="ORD-0307"/>
    <s v="2025-08-09"/>
    <s v="Alice Johnson"/>
    <x v="1"/>
    <s v="Monitor 27&quot;"/>
    <s v="Electronics"/>
    <n v="1"/>
    <n v="399"/>
    <n v="399"/>
    <n v="5"/>
    <n v="379.04999999999995"/>
    <s v="Completed"/>
    <n v="399"/>
    <n v="0"/>
    <s v="August"/>
    <n v="19.950000000000045"/>
    <n v="0"/>
    <n v="379.04999999999995"/>
    <s v="Small"/>
    <s v="High"/>
  </r>
  <r>
    <s v="ORD-0219"/>
    <s v="2025-08-11"/>
    <s v="Grace Park"/>
    <x v="1"/>
    <s v="Mechanical Keyboard"/>
    <s v="Accessories"/>
    <n v="2"/>
    <n v="89.99"/>
    <n v="179.98"/>
    <n v="8"/>
    <n v="165.58160000000001"/>
    <s v="Completed"/>
    <n v="179.98"/>
    <n v="89.99"/>
    <s v="August"/>
    <n v="-75.591600000000014"/>
    <n v="0.54347826086956519"/>
    <n v="82.790800000000004"/>
    <s v="Small"/>
    <s v="Low"/>
  </r>
  <r>
    <s v="ORD-0453"/>
    <s v="2025-08-11"/>
    <s v="James Rivera"/>
    <x v="3"/>
    <s v="Cloud Backup (1yr)"/>
    <s v="Software"/>
    <n v="22"/>
    <n v="99"/>
    <n v="2178"/>
    <n v="15"/>
    <n v="1851.3"/>
    <s v="Completed"/>
    <n v="2178"/>
    <n v="2079"/>
    <s v="August"/>
    <n v="-1752.3"/>
    <n v="1.1229946524064172"/>
    <n v="84.149999999999991"/>
    <s v="Large"/>
    <s v="Low"/>
  </r>
  <r>
    <s v="ORD-0003"/>
    <s v="2025-08-12"/>
    <s v="Grace Park"/>
    <x v="1"/>
    <s v="Laptop Pro 13"/>
    <s v="Electronics"/>
    <n v="1"/>
    <n v="999"/>
    <n v="999"/>
    <n v="0"/>
    <n v="999"/>
    <s v="Completed"/>
    <n v="999"/>
    <n v="0"/>
    <s v="August"/>
    <n v="0"/>
    <n v="0"/>
    <n v="999"/>
    <s v="Small"/>
    <s v="High"/>
  </r>
  <r>
    <s v="ORD-0202"/>
    <s v="2025-08-13"/>
    <s v="David Kim"/>
    <x v="2"/>
    <s v="Filing Cabinet"/>
    <s v="Furniture"/>
    <n v="26"/>
    <n v="169"/>
    <n v="4394"/>
    <n v="8"/>
    <n v="4042.48"/>
    <s v="Pending"/>
    <n v="4394"/>
    <n v="4225"/>
    <s v="August"/>
    <n v="-3873.48"/>
    <n v="1.0451505016722409"/>
    <n v="155.47999999999999"/>
    <s v="Large"/>
    <s v="Low"/>
  </r>
  <r>
    <s v="ORD-0443"/>
    <s v="2025-08-15"/>
    <s v="Eve Torres"/>
    <x v="3"/>
    <s v="Webcam HD"/>
    <s v="Electronics"/>
    <n v="22"/>
    <n v="79.989999999999995"/>
    <n v="1759.78"/>
    <n v="15"/>
    <n v="1495.8129999999999"/>
    <s v="Completed"/>
    <n v="1759.78"/>
    <n v="1679.79"/>
    <s v="August"/>
    <n v="-1415.8229999999999"/>
    <n v="1.1229946524064172"/>
    <n v="67.991499999999988"/>
    <s v="Large"/>
    <s v="High"/>
  </r>
  <r>
    <s v="ORD-0460"/>
    <s v="2025-08-15"/>
    <s v="Frank Ng"/>
    <x v="2"/>
    <s v="Laptop Stand"/>
    <s v="Accessories"/>
    <n v="14"/>
    <n v="59.99"/>
    <n v="839.86"/>
    <n v="0"/>
    <n v="839.86"/>
    <s v="Pending"/>
    <n v="839.86"/>
    <n v="779.87"/>
    <s v="August"/>
    <n v="-779.87"/>
    <n v="0.9285714285714286"/>
    <n v="59.99"/>
    <s v="Large"/>
    <s v="High"/>
  </r>
  <r>
    <s v="ORD-0434"/>
    <s v="2025-08-17"/>
    <s v="Iris Patel"/>
    <x v="1"/>
    <s v="Cable Management Kit"/>
    <s v="Accessories"/>
    <n v="17"/>
    <n v="19.989999999999998"/>
    <n v="339.83"/>
    <n v="0"/>
    <n v="339.83"/>
    <s v="Completed"/>
    <n v="339.83"/>
    <n v="319.83999999999997"/>
    <s v="August"/>
    <n v="-319.83999999999997"/>
    <n v="0.94117647058823528"/>
    <n v="19.989999999999998"/>
    <s v="Large"/>
    <s v="Low"/>
  </r>
  <r>
    <s v="ORD-0174"/>
    <s v="2025-08-19"/>
    <s v="Alice Johnson"/>
    <x v="1"/>
    <s v="Whiteboard"/>
    <s v="Furniture"/>
    <n v="14"/>
    <n v="129"/>
    <n v="1806"/>
    <n v="0"/>
    <n v="1806"/>
    <s v="Completed"/>
    <n v="1806"/>
    <n v="1677"/>
    <s v="August"/>
    <n v="-1677"/>
    <n v="0.9285714285714286"/>
    <n v="129"/>
    <s v="Large"/>
    <s v="Low"/>
  </r>
  <r>
    <s v="ORD-0247"/>
    <s v="2025-08-20"/>
    <s v="Iris Patel"/>
    <x v="1"/>
    <s v="Monitor Arm"/>
    <s v="Accessories"/>
    <n v="4"/>
    <n v="79.989999999999995"/>
    <n v="319.95999999999998"/>
    <n v="5"/>
    <n v="303.96199999999999"/>
    <s v="Completed"/>
    <n v="319.95999999999998"/>
    <n v="239.96999999999997"/>
    <s v="August"/>
    <n v="-223.97199999999998"/>
    <n v="0.78947368421052622"/>
    <n v="75.990499999999997"/>
    <s v="Small"/>
    <s v="High"/>
  </r>
  <r>
    <s v="ORD-0404"/>
    <s v="2025-08-26"/>
    <s v="Eve Torres"/>
    <x v="3"/>
    <s v="Antivirus Suite (1yr)"/>
    <s v="Software"/>
    <n v="2"/>
    <n v="59.99"/>
    <n v="119.98"/>
    <n v="0"/>
    <n v="119.98"/>
    <s v="Completed"/>
    <n v="119.98"/>
    <n v="59.99"/>
    <s v="August"/>
    <n v="-59.99"/>
    <n v="0.5"/>
    <n v="59.99"/>
    <s v="Small"/>
    <s v="Low"/>
  </r>
  <r>
    <s v="ORD-0485"/>
    <s v="2025-08-26"/>
    <s v="Frank Ng"/>
    <x v="2"/>
    <s v="Laptop Pro 13"/>
    <s v="Electronics"/>
    <n v="4"/>
    <n v="999"/>
    <n v="3996"/>
    <n v="10"/>
    <n v="3596.4"/>
    <s v="Completed"/>
    <n v="3996"/>
    <n v="2997"/>
    <s v="August"/>
    <n v="-2597.4"/>
    <n v="0.83333333333333326"/>
    <n v="899.1"/>
    <s v="Small"/>
    <s v="Low"/>
  </r>
  <r>
    <s v="ORD-0225"/>
    <s v="2025-08-27"/>
    <s v="Iris Patel"/>
    <x v="1"/>
    <s v="Noise Cancelling Headphones"/>
    <s v="Electronics"/>
    <n v="19"/>
    <n v="249"/>
    <n v="4731"/>
    <n v="5"/>
    <n v="4494.45"/>
    <s v="Completed"/>
    <n v="4731"/>
    <n v="4482"/>
    <s v="August"/>
    <n v="-4245.45"/>
    <n v="0.99722991689750695"/>
    <n v="236.54999999999998"/>
    <s v="Large"/>
    <s v="High"/>
  </r>
  <r>
    <s v="ORD-0212"/>
    <s v="2025-08-28"/>
    <s v="Grace Park"/>
    <x v="1"/>
    <s v="Antivirus Suite (1yr)"/>
    <s v="Software"/>
    <n v="12"/>
    <n v="59.99"/>
    <n v="719.88"/>
    <n v="0"/>
    <n v="719.88"/>
    <s v="Completed"/>
    <n v="719.88"/>
    <n v="659.89"/>
    <s v="August"/>
    <n v="-659.89"/>
    <n v="0.91666666666666663"/>
    <n v="59.99"/>
    <s v="Large"/>
    <s v="High"/>
  </r>
  <r>
    <s v="ORD-0295"/>
    <s v="2025-08-28"/>
    <s v="Eve Torres"/>
    <x v="3"/>
    <s v="VPN License (1yr)"/>
    <s v="Software"/>
    <n v="24"/>
    <n v="49.99"/>
    <n v="1199.76"/>
    <n v="12"/>
    <n v="1055.7888"/>
    <s v="Completed"/>
    <n v="1199.76"/>
    <n v="1149.77"/>
    <s v="August"/>
    <n v="-1005.7988"/>
    <n v="1.0890151515151514"/>
    <n v="43.991199999999999"/>
    <s v="Large"/>
    <s v="Low"/>
  </r>
  <r>
    <s v="ORD-0189"/>
    <s v="2025-08-29"/>
    <s v="Henry Wu"/>
    <x v="0"/>
    <s v="Whiteboard"/>
    <s v="Furniture"/>
    <n v="2"/>
    <n v="129"/>
    <n v="258"/>
    <n v="0"/>
    <n v="258"/>
    <s v="Pending"/>
    <n v="258"/>
    <n v="129"/>
    <s v="August"/>
    <n v="-129"/>
    <n v="0.5"/>
    <n v="129"/>
    <s v="Small"/>
    <s v="High"/>
  </r>
  <r>
    <s v="ORD-0343"/>
    <s v="2025-08-31"/>
    <s v="David Kim"/>
    <x v="2"/>
    <s v="Monitor 32&quot;"/>
    <s v="Electronics"/>
    <n v="7"/>
    <n v="599"/>
    <n v="4193"/>
    <n v="0"/>
    <n v="4193"/>
    <s v="Completed"/>
    <n v="4193"/>
    <n v="3594"/>
    <s v="August"/>
    <n v="-3594"/>
    <n v="0.8571428571428571"/>
    <n v="599"/>
    <s v="Small"/>
    <s v="Low"/>
  </r>
  <r>
    <s v="ORD-0228"/>
    <s v="2025-09-01"/>
    <s v="Alice Johnson"/>
    <x v="1"/>
    <s v="Webcam HD"/>
    <s v="Electronics"/>
    <n v="1"/>
    <n v="79.989999999999995"/>
    <n v="79.989999999999995"/>
    <n v="8"/>
    <n v="73.590800000000002"/>
    <s v="Completed"/>
    <n v="79.989999999999995"/>
    <n v="0"/>
    <s v="September"/>
    <n v="6.3991999999999933"/>
    <n v="0"/>
    <n v="73.590800000000002"/>
    <s v="Small"/>
    <s v="High"/>
  </r>
  <r>
    <s v="ORD-0456"/>
    <s v="2025-09-03"/>
    <s v="James Rivera"/>
    <x v="3"/>
    <s v="Design Suite License"/>
    <s v="Software"/>
    <n v="7"/>
    <n v="299"/>
    <n v="2093"/>
    <n v="10"/>
    <n v="1883.7"/>
    <s v="Completed"/>
    <n v="2093"/>
    <n v="1794"/>
    <s v="September"/>
    <n v="-1584.7"/>
    <n v="0.95238095238095233"/>
    <n v="269.10000000000002"/>
    <s v="Small"/>
    <s v="Low"/>
  </r>
  <r>
    <s v="ORD-0194"/>
    <s v="2025-09-04"/>
    <s v="Carol Lee"/>
    <x v="0"/>
    <s v="Monitor 27&quot;"/>
    <s v="Electronics"/>
    <n v="20"/>
    <n v="399"/>
    <n v="7980"/>
    <n v="10"/>
    <n v="7182"/>
    <s v="Completed"/>
    <n v="7980"/>
    <n v="7581"/>
    <s v="September"/>
    <n v="-6783"/>
    <n v="1.0555555555555556"/>
    <n v="359.1"/>
    <s v="Large"/>
    <s v="High"/>
  </r>
  <r>
    <s v="ORD-0368"/>
    <s v="2025-09-04"/>
    <s v="Bob Smith"/>
    <x v="3"/>
    <s v="Cable Management Kit"/>
    <s v="Accessories"/>
    <n v="17"/>
    <n v="19.989999999999998"/>
    <n v="339.83"/>
    <n v="12"/>
    <n v="299.05039999999997"/>
    <s v="Completed"/>
    <n v="339.83"/>
    <n v="319.83999999999997"/>
    <s v="September"/>
    <n v="-279.06039999999996"/>
    <n v="1.0695187165775402"/>
    <n v="17.591199999999997"/>
    <s v="Large"/>
    <s v="High"/>
  </r>
  <r>
    <s v="ORD-0438"/>
    <s v="2025-09-04"/>
    <s v="Grace Park"/>
    <x v="1"/>
    <s v="Filing Cabinet"/>
    <s v="Furniture"/>
    <n v="25"/>
    <n v="169"/>
    <n v="4225"/>
    <n v="0"/>
    <n v="4225"/>
    <s v="Completed"/>
    <n v="4225"/>
    <n v="4056"/>
    <s v="September"/>
    <n v="-4056"/>
    <n v="0.96"/>
    <n v="169"/>
    <s v="Large"/>
    <s v="Low"/>
  </r>
  <r>
    <s v="ORD-0040"/>
    <s v="2025-09-06"/>
    <s v="Carol Lee"/>
    <x v="0"/>
    <s v="Cloud Backup (1yr)"/>
    <s v="Software"/>
    <n v="30"/>
    <n v="99"/>
    <n v="2970"/>
    <n v="12"/>
    <n v="2613.6"/>
    <s v="Completed"/>
    <n v="2970"/>
    <n v="2871"/>
    <s v="September"/>
    <n v="-2514.6"/>
    <n v="1.0984848484848486"/>
    <n v="87.11999999999999"/>
    <s v="Large"/>
    <s v="High"/>
  </r>
  <r>
    <s v="ORD-0399"/>
    <s v="2025-09-06"/>
    <s v="Bob Smith"/>
    <x v="3"/>
    <s v="Filing Cabinet"/>
    <s v="Furniture"/>
    <n v="24"/>
    <n v="169"/>
    <n v="4056"/>
    <n v="5"/>
    <n v="3853.2"/>
    <s v="Completed"/>
    <n v="4056"/>
    <n v="3887"/>
    <s v="September"/>
    <n v="-3684.2"/>
    <n v="1.0087719298245614"/>
    <n v="160.54999999999998"/>
    <s v="Large"/>
    <s v="High"/>
  </r>
  <r>
    <s v="ORD-0455"/>
    <s v="2025-09-06"/>
    <s v="Bob Smith"/>
    <x v="3"/>
    <s v="Cloud Backup (1yr)"/>
    <s v="Software"/>
    <n v="25"/>
    <n v="99"/>
    <n v="2475"/>
    <n v="12"/>
    <n v="2178"/>
    <s v="Pending"/>
    <n v="2475"/>
    <n v="2376"/>
    <s v="September"/>
    <n v="-2079"/>
    <n v="1.0909090909090908"/>
    <n v="87.12"/>
    <s v="Large"/>
    <s v="High"/>
  </r>
  <r>
    <s v="ORD-0496"/>
    <s v="2025-09-06"/>
    <s v="Grace Park"/>
    <x v="1"/>
    <s v="Cable Management Kit"/>
    <s v="Accessories"/>
    <n v="25"/>
    <n v="19.989999999999998"/>
    <n v="499.74999999999994"/>
    <n v="0"/>
    <n v="499.74999999999994"/>
    <s v="Completed"/>
    <n v="499.74999999999994"/>
    <n v="479.75999999999993"/>
    <s v="September"/>
    <n v="-479.75999999999993"/>
    <n v="0.96"/>
    <n v="19.989999999999998"/>
    <s v="Large"/>
    <s v="High"/>
  </r>
  <r>
    <s v="ORD-0130"/>
    <s v="2025-09-07"/>
    <s v="Bob Smith"/>
    <x v="3"/>
    <s v="Mechanical Keyboard"/>
    <s v="Accessories"/>
    <n v="29"/>
    <n v="89.99"/>
    <n v="2609.71"/>
    <n v="12"/>
    <n v="2296.5448000000001"/>
    <s v="Cancelled"/>
    <n v="2609.71"/>
    <n v="2519.7200000000003"/>
    <s v="September"/>
    <n v="-2206.5548000000003"/>
    <n v="1.0971786833855799"/>
    <n v="79.191200000000009"/>
    <s v="Large"/>
    <s v="Low"/>
  </r>
  <r>
    <s v="ORD-0136"/>
    <s v="2025-09-07"/>
    <s v="Bob Smith"/>
    <x v="3"/>
    <s v="USB-C Hub"/>
    <s v="Accessories"/>
    <n v="8"/>
    <n v="49.99"/>
    <n v="399.92"/>
    <n v="10"/>
    <n v="359.928"/>
    <s v="Completed"/>
    <n v="399.92"/>
    <n v="349.93"/>
    <s v="September"/>
    <n v="-309.93799999999999"/>
    <n v="0.97222222222222221"/>
    <n v="44.991"/>
    <s v="Small"/>
    <s v="High"/>
  </r>
  <r>
    <s v="ORD-0266"/>
    <s v="2025-09-07"/>
    <s v="Frank Ng"/>
    <x v="2"/>
    <s v="Monitor 27&quot;"/>
    <s v="Electronics"/>
    <n v="14"/>
    <n v="399"/>
    <n v="5586"/>
    <n v="0"/>
    <n v="5586"/>
    <s v="Completed"/>
    <n v="5586"/>
    <n v="5187"/>
    <s v="September"/>
    <n v="-5187"/>
    <n v="0.9285714285714286"/>
    <n v="399"/>
    <s v="Large"/>
    <s v="Low"/>
  </r>
  <r>
    <s v="ORD-0475"/>
    <s v="2025-09-07"/>
    <s v="Bob Smith"/>
    <x v="3"/>
    <s v="Monitor Arm"/>
    <s v="Accessories"/>
    <n v="13"/>
    <n v="79.989999999999995"/>
    <n v="1039.8699999999999"/>
    <n v="12"/>
    <n v="915.08559999999989"/>
    <s v="Pending"/>
    <n v="1039.8699999999999"/>
    <n v="959.87999999999988"/>
    <s v="September"/>
    <n v="-835.09559999999988"/>
    <n v="1.048951048951049"/>
    <n v="70.391199999999998"/>
    <s v="Large"/>
    <s v="High"/>
  </r>
  <r>
    <s v="ORD-0001"/>
    <s v="2025-09-08"/>
    <s v="Bob Smith"/>
    <x v="3"/>
    <s v="Laptop Pro 15"/>
    <s v="Electronics"/>
    <n v="24"/>
    <n v="1299"/>
    <n v="31176"/>
    <n v="5"/>
    <n v="29617.199999999997"/>
    <s v="Completed"/>
    <n v="31176"/>
    <n v="29877"/>
    <s v="September"/>
    <n v="-28318.199999999997"/>
    <n v="1.0087719298245614"/>
    <n v="1234.05"/>
    <s v="Large"/>
    <s v="Low"/>
  </r>
  <r>
    <s v="ORD-0092"/>
    <s v="2025-09-08"/>
    <s v="David Kim"/>
    <x v="2"/>
    <s v="Webcam HD"/>
    <s v="Electronics"/>
    <n v="1"/>
    <n v="79.989999999999995"/>
    <n v="79.989999999999995"/>
    <n v="0"/>
    <n v="79.989999999999995"/>
    <s v="Completed"/>
    <n v="79.989999999999995"/>
    <n v="0"/>
    <s v="September"/>
    <n v="0"/>
    <n v="0"/>
    <n v="79.989999999999995"/>
    <s v="Small"/>
    <s v="High"/>
  </r>
  <r>
    <s v="ORD-0019"/>
    <s v="2025-09-10"/>
    <s v="Henry Wu"/>
    <x v="0"/>
    <s v="Webcam HD"/>
    <s v="Electronics"/>
    <n v="9"/>
    <n v="79.989999999999995"/>
    <n v="719.91"/>
    <n v="0"/>
    <n v="719.91"/>
    <s v="Cancelled"/>
    <n v="719.91"/>
    <n v="639.91999999999996"/>
    <s v="September"/>
    <n v="-639.91999999999996"/>
    <n v="0.88888888888888884"/>
    <n v="79.989999999999995"/>
    <s v="Small"/>
    <s v="Low"/>
  </r>
  <r>
    <s v="ORD-0421"/>
    <s v="2025-09-11"/>
    <s v="Iris Patel"/>
    <x v="1"/>
    <s v="Project Mgmt License"/>
    <s v="Software"/>
    <n v="27"/>
    <n v="149"/>
    <n v="4023"/>
    <n v="5"/>
    <n v="3821.85"/>
    <s v="Pending"/>
    <n v="4023"/>
    <n v="3874"/>
    <s v="September"/>
    <n v="-3672.85"/>
    <n v="1.0136452241715399"/>
    <n v="141.54999999999998"/>
    <s v="Large"/>
    <s v="Low"/>
  </r>
  <r>
    <s v="ORD-0043"/>
    <s v="2025-09-12"/>
    <s v="Grace Park"/>
    <x v="1"/>
    <s v="Cloud Backup (1yr)"/>
    <s v="Software"/>
    <n v="11"/>
    <n v="99"/>
    <n v="1089"/>
    <n v="0"/>
    <n v="1089"/>
    <s v="Completed"/>
    <n v="1089"/>
    <n v="990"/>
    <s v="September"/>
    <n v="-990"/>
    <n v="0.90909090909090906"/>
    <n v="99"/>
    <s v="Large"/>
    <s v="High"/>
  </r>
  <r>
    <s v="ORD-0148"/>
    <s v="2025-09-12"/>
    <s v="Carol Lee"/>
    <x v="0"/>
    <s v="Bookshelf"/>
    <s v="Furniture"/>
    <n v="10"/>
    <n v="199"/>
    <n v="1990"/>
    <n v="0"/>
    <n v="1990"/>
    <s v="Completed"/>
    <n v="1990"/>
    <n v="1791"/>
    <s v="September"/>
    <n v="-1791"/>
    <n v="0.9"/>
    <n v="199"/>
    <s v="Large"/>
    <s v="High"/>
  </r>
  <r>
    <s v="ORD-0336"/>
    <s v="2025-09-13"/>
    <s v="Frank Ng"/>
    <x v="2"/>
    <s v="Cable Management Kit"/>
    <s v="Accessories"/>
    <n v="11"/>
    <n v="19.989999999999998"/>
    <n v="219.89"/>
    <n v="5"/>
    <n v="208.89549999999997"/>
    <s v="Completed"/>
    <n v="219.89"/>
    <n v="199.89999999999998"/>
    <s v="September"/>
    <n v="-188.90549999999996"/>
    <n v="0.9569377990430622"/>
    <n v="18.990499999999997"/>
    <s v="Large"/>
    <s v="High"/>
  </r>
  <r>
    <s v="ORD-0161"/>
    <s v="2025-09-14"/>
    <s v="Alice Johnson"/>
    <x v="1"/>
    <s v="Standing Desk"/>
    <s v="Furniture"/>
    <n v="24"/>
    <n v="549"/>
    <n v="13176"/>
    <n v="8"/>
    <n v="12121.92"/>
    <s v="Completed"/>
    <n v="13176"/>
    <n v="12627"/>
    <s v="September"/>
    <n v="-11572.92"/>
    <n v="1.0416666666666667"/>
    <n v="505.08"/>
    <s v="Large"/>
    <s v="Low"/>
  </r>
  <r>
    <s v="ORD-0023"/>
    <s v="2025-09-15"/>
    <s v="Bob Smith"/>
    <x v="3"/>
    <s v="Cable Management Kit"/>
    <s v="Accessories"/>
    <n v="13"/>
    <n v="19.989999999999998"/>
    <n v="259.87"/>
    <n v="12"/>
    <n v="228.68559999999999"/>
    <s v="Completed"/>
    <n v="259.87"/>
    <n v="239.88"/>
    <s v="September"/>
    <n v="-208.69559999999998"/>
    <n v="1.048951048951049"/>
    <n v="17.591200000000001"/>
    <s v="Large"/>
    <s v="High"/>
  </r>
  <r>
    <s v="ORD-0081"/>
    <s v="2025-09-18"/>
    <s v="Iris Patel"/>
    <x v="1"/>
    <s v="Monitor 32&quot;"/>
    <s v="Electronics"/>
    <n v="13"/>
    <n v="599"/>
    <n v="7787"/>
    <n v="5"/>
    <n v="7397.65"/>
    <s v="Completed"/>
    <n v="7787"/>
    <n v="7188"/>
    <s v="September"/>
    <n v="-6798.65"/>
    <n v="0.97165991902834015"/>
    <n v="569.04999999999995"/>
    <s v="Large"/>
    <s v="Low"/>
  </r>
  <r>
    <s v="ORD-0195"/>
    <s v="2025-09-18"/>
    <s v="James Rivera"/>
    <x v="3"/>
    <s v="Webcam HD"/>
    <s v="Electronics"/>
    <n v="8"/>
    <n v="79.989999999999995"/>
    <n v="639.91999999999996"/>
    <n v="12"/>
    <n v="563.12959999999998"/>
    <s v="Completed"/>
    <n v="639.91999999999996"/>
    <n v="559.92999999999995"/>
    <s v="September"/>
    <n v="-483.13959999999997"/>
    <n v="0.99431818181818177"/>
    <n v="70.391199999999998"/>
    <s v="Small"/>
    <s v="High"/>
  </r>
  <r>
    <s v="ORD-0428"/>
    <s v="2025-09-18"/>
    <s v="Eve Torres"/>
    <x v="3"/>
    <s v="Cloud Backup (1yr)"/>
    <s v="Software"/>
    <n v="1"/>
    <n v="99"/>
    <n v="99"/>
    <n v="10"/>
    <n v="89.100000000000009"/>
    <s v="Completed"/>
    <n v="99"/>
    <n v="0"/>
    <s v="September"/>
    <n v="9.8999999999999915"/>
    <n v="0"/>
    <n v="89.100000000000009"/>
    <s v="Small"/>
    <s v="Low"/>
  </r>
  <r>
    <s v="ORD-0259"/>
    <s v="2025-09-19"/>
    <s v="Eve Torres"/>
    <x v="3"/>
    <s v="Noise Cancelling Headphones"/>
    <s v="Electronics"/>
    <n v="25"/>
    <n v="249"/>
    <n v="6225"/>
    <n v="0"/>
    <n v="6225"/>
    <s v="Completed"/>
    <n v="6225"/>
    <n v="5976"/>
    <s v="September"/>
    <n v="-5976"/>
    <n v="0.96"/>
    <n v="249"/>
    <s v="Large"/>
    <s v="Low"/>
  </r>
  <r>
    <s v="ORD-0120"/>
    <s v="2025-09-20"/>
    <s v="Bob Smith"/>
    <x v="3"/>
    <s v="Bookshelf"/>
    <s v="Furniture"/>
    <n v="7"/>
    <n v="199"/>
    <n v="1393"/>
    <n v="12"/>
    <n v="1225.8399999999999"/>
    <s v="Cancelled"/>
    <n v="1393"/>
    <n v="1194"/>
    <s v="September"/>
    <n v="-1026.8399999999999"/>
    <n v="0.97402597402597413"/>
    <n v="175.11999999999998"/>
    <s v="Small"/>
    <s v="High"/>
  </r>
  <r>
    <s v="ORD-0270"/>
    <s v="2025-09-20"/>
    <s v="Carol Lee"/>
    <x v="0"/>
    <s v="Wireless Mouse"/>
    <s v="Accessories"/>
    <n v="4"/>
    <n v="29.99"/>
    <n v="119.96"/>
    <n v="0"/>
    <n v="119.96"/>
    <s v="Completed"/>
    <n v="119.96"/>
    <n v="89.97"/>
    <s v="September"/>
    <n v="-89.97"/>
    <n v="0.75"/>
    <n v="29.99"/>
    <s v="Small"/>
    <s v="High"/>
  </r>
  <r>
    <s v="ORD-0207"/>
    <s v="2025-09-21"/>
    <s v="Iris Patel"/>
    <x v="1"/>
    <s v="Mechanical Keyboard"/>
    <s v="Accessories"/>
    <n v="27"/>
    <n v="89.99"/>
    <n v="2429.73"/>
    <n v="0"/>
    <n v="2429.73"/>
    <s v="Completed"/>
    <n v="2429.73"/>
    <n v="2339.7400000000002"/>
    <s v="September"/>
    <n v="-2339.7400000000002"/>
    <n v="0.96296296296296302"/>
    <n v="89.99"/>
    <s v="Large"/>
    <s v="Low"/>
  </r>
  <r>
    <s v="ORD-0463"/>
    <s v="2025-09-21"/>
    <s v="David Kim"/>
    <x v="2"/>
    <s v="Office Chair"/>
    <s v="Furniture"/>
    <n v="18"/>
    <n v="449"/>
    <n v="8082"/>
    <n v="8"/>
    <n v="7435.4400000000005"/>
    <s v="Cancelled"/>
    <n v="8082"/>
    <n v="7633"/>
    <s v="September"/>
    <n v="-6986.4400000000005"/>
    <n v="1.0265700483091786"/>
    <n v="413.08000000000004"/>
    <s v="Large"/>
    <s v="High"/>
  </r>
  <r>
    <s v="ORD-0055"/>
    <s v="2025-09-25"/>
    <s v="James Rivera"/>
    <x v="3"/>
    <s v="Bookshelf"/>
    <s v="Furniture"/>
    <n v="17"/>
    <n v="199"/>
    <n v="3383"/>
    <n v="8"/>
    <n v="3112.36"/>
    <s v="Completed"/>
    <n v="3383"/>
    <n v="3184"/>
    <s v="September"/>
    <n v="-2913.36"/>
    <n v="1.0230179028132993"/>
    <n v="183.08"/>
    <s v="Large"/>
    <s v="High"/>
  </r>
  <r>
    <s v="ORD-0415"/>
    <s v="2025-09-25"/>
    <s v="Eve Torres"/>
    <x v="3"/>
    <s v="Laptop Stand"/>
    <s v="Accessories"/>
    <n v="10"/>
    <n v="59.99"/>
    <n v="599.9"/>
    <n v="0"/>
    <n v="599.9"/>
    <s v="Pending"/>
    <n v="599.9"/>
    <n v="539.91"/>
    <s v="September"/>
    <n v="-539.91"/>
    <n v="0.9"/>
    <n v="59.989999999999995"/>
    <s v="Large"/>
    <s v="High"/>
  </r>
  <r>
    <s v="ORD-0066"/>
    <s v="2025-09-26"/>
    <s v="Alice Johnson"/>
    <x v="1"/>
    <s v="Laptop Stand"/>
    <s v="Accessories"/>
    <n v="25"/>
    <n v="59.99"/>
    <n v="1499.75"/>
    <n v="0"/>
    <n v="1499.75"/>
    <s v="Completed"/>
    <n v="1499.75"/>
    <n v="1439.76"/>
    <s v="September"/>
    <n v="-1439.76"/>
    <n v="0.96"/>
    <n v="59.99"/>
    <s v="Large"/>
    <s v="Low"/>
  </r>
  <r>
    <s v="ORD-0211"/>
    <s v="2025-09-26"/>
    <s v="Iris Patel"/>
    <x v="1"/>
    <s v="Monitor 32&quot;"/>
    <s v="Electronics"/>
    <n v="15"/>
    <n v="599"/>
    <n v="8985"/>
    <n v="8"/>
    <n v="8266.2000000000007"/>
    <s v="Completed"/>
    <n v="8985"/>
    <n v="8386"/>
    <s v="September"/>
    <n v="-7667.2000000000007"/>
    <n v="1.0144927536231882"/>
    <n v="551.08000000000004"/>
    <s v="Large"/>
    <s v="High"/>
  </r>
  <r>
    <s v="ORD-0008"/>
    <s v="2025-09-28"/>
    <s v="Bob Smith"/>
    <x v="3"/>
    <s v="Monitor Arm"/>
    <s v="Accessories"/>
    <n v="28"/>
    <n v="79.989999999999995"/>
    <n v="2239.7199999999998"/>
    <n v="8"/>
    <n v="2060.5423999999998"/>
    <s v="Completed"/>
    <n v="2239.7199999999998"/>
    <n v="2159.73"/>
    <s v="September"/>
    <n v="-1980.5523999999998"/>
    <n v="1.048136645962733"/>
    <n v="73.590799999999987"/>
    <s v="Large"/>
    <s v="High"/>
  </r>
  <r>
    <s v="ORD-0371"/>
    <s v="2025-09-28"/>
    <s v="Alice Johnson"/>
    <x v="1"/>
    <s v="Monitor 32&quot;"/>
    <s v="Electronics"/>
    <n v="14"/>
    <n v="599"/>
    <n v="8386"/>
    <n v="0"/>
    <n v="8386"/>
    <s v="Pending"/>
    <n v="8386"/>
    <n v="7787"/>
    <s v="September"/>
    <n v="-7787"/>
    <n v="0.9285714285714286"/>
    <n v="599"/>
    <s v="Large"/>
    <s v="High"/>
  </r>
  <r>
    <s v="ORD-0391"/>
    <s v="2025-09-28"/>
    <s v="Iris Patel"/>
    <x v="1"/>
    <s v="Laptop Stand"/>
    <s v="Accessories"/>
    <n v="18"/>
    <n v="59.99"/>
    <n v="1079.82"/>
    <n v="8"/>
    <n v="993.43439999999998"/>
    <s v="Completed"/>
    <n v="1079.82"/>
    <n v="1019.8299999999999"/>
    <s v="September"/>
    <n v="-933.44439999999997"/>
    <n v="1.0265700483091786"/>
    <n v="55.190799999999996"/>
    <s v="Large"/>
    <s v="High"/>
  </r>
  <r>
    <s v="ORD-0157"/>
    <s v="2025-09-30"/>
    <s v="Iris Patel"/>
    <x v="1"/>
    <s v="Wireless Mouse"/>
    <s v="Accessories"/>
    <n v="21"/>
    <n v="29.99"/>
    <n v="629.79"/>
    <n v="0"/>
    <n v="629.79"/>
    <s v="Completed"/>
    <n v="629.79"/>
    <n v="599.79999999999995"/>
    <s v="September"/>
    <n v="-599.79999999999995"/>
    <n v="0.95238095238095233"/>
    <n v="29.99"/>
    <s v="Large"/>
    <s v="Low"/>
  </r>
  <r>
    <s v="ORD-0024"/>
    <s v="2025-10-01"/>
    <s v="Alice Johnson"/>
    <x v="1"/>
    <s v="Project Mgmt License"/>
    <s v="Software"/>
    <n v="24"/>
    <n v="149"/>
    <n v="3576"/>
    <n v="0"/>
    <n v="3576"/>
    <s v="Cancelled"/>
    <n v="3576"/>
    <n v="3427"/>
    <s v="October"/>
    <n v="-3427"/>
    <n v="0.95833333333333337"/>
    <n v="149"/>
    <s v="Large"/>
    <s v="Low"/>
  </r>
  <r>
    <s v="ORD-0171"/>
    <s v="2025-10-01"/>
    <s v="Henry Wu"/>
    <x v="0"/>
    <s v="VPN License (1yr)"/>
    <s v="Software"/>
    <n v="2"/>
    <n v="49.99"/>
    <n v="99.98"/>
    <n v="5"/>
    <n v="94.980999999999995"/>
    <s v="Completed"/>
    <n v="99.98"/>
    <n v="49.99"/>
    <s v="October"/>
    <n v="-44.990999999999993"/>
    <n v="0.52631578947368429"/>
    <n v="47.490499999999997"/>
    <s v="Small"/>
    <s v="High"/>
  </r>
  <r>
    <s v="ORD-0179"/>
    <s v="2025-10-01"/>
    <s v="Grace Park"/>
    <x v="1"/>
    <s v="Laptop Stand"/>
    <s v="Accessories"/>
    <n v="30"/>
    <n v="59.99"/>
    <n v="1799.7"/>
    <n v="15"/>
    <n v="1529.7449999999999"/>
    <s v="Completed"/>
    <n v="1799.7"/>
    <n v="1739.71"/>
    <s v="October"/>
    <n v="-1469.7549999999999"/>
    <n v="1.1372549019607845"/>
    <n v="50.991499999999995"/>
    <s v="Large"/>
    <s v="Low"/>
  </r>
  <r>
    <s v="ORD-0474"/>
    <s v="2025-10-01"/>
    <s v="Iris Patel"/>
    <x v="1"/>
    <s v="Mechanical Keyboard"/>
    <s v="Accessories"/>
    <n v="27"/>
    <n v="89.99"/>
    <n v="2429.73"/>
    <n v="8"/>
    <n v="2235.3516"/>
    <s v="Completed"/>
    <n v="2429.73"/>
    <n v="2339.7400000000002"/>
    <s v="October"/>
    <n v="-2145.3616000000002"/>
    <n v="1.0466988727858295"/>
    <n v="82.790800000000004"/>
    <s v="Large"/>
    <s v="High"/>
  </r>
  <r>
    <s v="ORD-0162"/>
    <s v="2025-10-03"/>
    <s v="Bob Smith"/>
    <x v="3"/>
    <s v="Wireless Mouse"/>
    <s v="Accessories"/>
    <n v="22"/>
    <n v="29.99"/>
    <n v="659.78"/>
    <n v="0"/>
    <n v="659.78"/>
    <s v="Completed"/>
    <n v="659.78"/>
    <n v="629.79"/>
    <s v="October"/>
    <n v="-629.79"/>
    <n v="0.95454545454545447"/>
    <n v="29.99"/>
    <s v="Large"/>
    <s v="High"/>
  </r>
  <r>
    <s v="ORD-0015"/>
    <s v="2025-10-04"/>
    <s v="David Kim"/>
    <x v="2"/>
    <s v="Webcam 4K"/>
    <s v="Electronics"/>
    <n v="15"/>
    <n v="149.99"/>
    <n v="2249.8500000000004"/>
    <n v="10"/>
    <n v="2024.8650000000005"/>
    <s v="Pending"/>
    <n v="2249.8500000000004"/>
    <n v="2099.8600000000006"/>
    <s v="October"/>
    <n v="-1874.8750000000005"/>
    <n v="1.037037037037037"/>
    <n v="134.99100000000004"/>
    <s v="Large"/>
    <s v="Low"/>
  </r>
  <r>
    <s v="ORD-0138"/>
    <s v="2025-10-05"/>
    <s v="Iris Patel"/>
    <x v="1"/>
    <s v="Laptop Stand"/>
    <s v="Accessories"/>
    <n v="12"/>
    <n v="59.99"/>
    <n v="719.88"/>
    <n v="12"/>
    <n v="633.49440000000004"/>
    <s v="Completed"/>
    <n v="719.88"/>
    <n v="659.89"/>
    <s v="October"/>
    <n v="-573.50440000000003"/>
    <n v="1.0416666666666665"/>
    <n v="52.791200000000003"/>
    <s v="Large"/>
    <s v="High"/>
  </r>
  <r>
    <s v="ORD-0480"/>
    <s v="2025-10-05"/>
    <s v="David Kim"/>
    <x v="2"/>
    <s v="Design Suite License"/>
    <s v="Software"/>
    <n v="29"/>
    <n v="299"/>
    <n v="8671"/>
    <n v="12"/>
    <n v="7630.4800000000005"/>
    <s v="Completed"/>
    <n v="8671"/>
    <n v="8372"/>
    <s v="October"/>
    <n v="-7331.4800000000005"/>
    <n v="1.0971786833855799"/>
    <n v="263.12"/>
    <s v="Large"/>
    <s v="Low"/>
  </r>
  <r>
    <s v="ORD-0398"/>
    <s v="2025-10-06"/>
    <s v="Iris Patel"/>
    <x v="1"/>
    <s v="Mechanical Keyboard"/>
    <s v="Accessories"/>
    <n v="30"/>
    <n v="89.99"/>
    <n v="2699.7"/>
    <n v="15"/>
    <n v="2294.7449999999999"/>
    <s v="Completed"/>
    <n v="2699.7"/>
    <n v="2609.71"/>
    <s v="October"/>
    <n v="-2204.7550000000001"/>
    <n v="1.1372549019607845"/>
    <n v="76.491500000000002"/>
    <s v="Large"/>
    <s v="High"/>
  </r>
  <r>
    <s v="ORD-0323"/>
    <s v="2025-10-07"/>
    <s v="Frank Ng"/>
    <x v="2"/>
    <s v="VPN License (1yr)"/>
    <s v="Software"/>
    <n v="2"/>
    <n v="49.99"/>
    <n v="99.98"/>
    <n v="8"/>
    <n v="91.981600000000014"/>
    <s v="Completed"/>
    <n v="99.98"/>
    <n v="49.99"/>
    <s v="October"/>
    <n v="-41.991600000000012"/>
    <n v="0.54347826086956519"/>
    <n v="45.990800000000007"/>
    <s v="Small"/>
    <s v="High"/>
  </r>
  <r>
    <s v="ORD-0143"/>
    <s v="2025-10-08"/>
    <s v="Alice Johnson"/>
    <x v="1"/>
    <s v="Design Suite License"/>
    <s v="Software"/>
    <n v="18"/>
    <n v="299"/>
    <n v="5382"/>
    <n v="0"/>
    <n v="5382"/>
    <s v="Completed"/>
    <n v="5382"/>
    <n v="5083"/>
    <s v="October"/>
    <n v="-5083"/>
    <n v="0.94444444444444442"/>
    <n v="299"/>
    <s v="Large"/>
    <s v="Low"/>
  </r>
  <r>
    <s v="ORD-0352"/>
    <s v="2025-10-09"/>
    <s v="Eve Torres"/>
    <x v="3"/>
    <s v="Monitor 27&quot;"/>
    <s v="Electronics"/>
    <n v="9"/>
    <n v="399"/>
    <n v="3591"/>
    <n v="5"/>
    <n v="3411.45"/>
    <s v="Completed"/>
    <n v="3591"/>
    <n v="3192"/>
    <s v="October"/>
    <n v="-3012.45"/>
    <n v="0.9356725146198831"/>
    <n v="379.04999999999995"/>
    <s v="Small"/>
    <s v="High"/>
  </r>
  <r>
    <s v="ORD-0065"/>
    <s v="2025-10-11"/>
    <s v="Eve Torres"/>
    <x v="3"/>
    <s v="Laptop Pro 13"/>
    <s v="Electronics"/>
    <n v="3"/>
    <n v="999"/>
    <n v="2997"/>
    <n v="10"/>
    <n v="2697.3"/>
    <s v="Completed"/>
    <n v="2997"/>
    <n v="1998"/>
    <s v="October"/>
    <n v="-1698.3000000000002"/>
    <n v="0.7407407407407407"/>
    <n v="899.1"/>
    <s v="Small"/>
    <s v="High"/>
  </r>
  <r>
    <s v="ORD-0005"/>
    <s v="2025-10-12"/>
    <s v="Iris Patel"/>
    <x v="1"/>
    <s v="Standing Desk"/>
    <s v="Furniture"/>
    <n v="8"/>
    <n v="549"/>
    <n v="4392"/>
    <n v="12"/>
    <n v="3864.96"/>
    <s v="Completed"/>
    <n v="4392"/>
    <n v="3843"/>
    <s v="October"/>
    <n v="-3315.96"/>
    <n v="0.99431818181818177"/>
    <n v="483.12"/>
    <s v="Small"/>
    <s v="High"/>
  </r>
  <r>
    <s v="ORD-0006"/>
    <s v="2025-10-12"/>
    <s v="Carol Lee"/>
    <x v="0"/>
    <s v="Design Suite License"/>
    <s v="Software"/>
    <n v="14"/>
    <n v="299"/>
    <n v="4186"/>
    <n v="8"/>
    <n v="3851.1200000000003"/>
    <s v="Completed"/>
    <n v="4186"/>
    <n v="3887"/>
    <s v="October"/>
    <n v="-3552.1200000000003"/>
    <n v="1.0093167701863353"/>
    <n v="275.08000000000004"/>
    <s v="Large"/>
    <s v="High"/>
  </r>
  <r>
    <s v="ORD-0115"/>
    <s v="2025-10-12"/>
    <s v="Frank Ng"/>
    <x v="2"/>
    <s v="VPN License (1yr)"/>
    <s v="Software"/>
    <n v="29"/>
    <n v="49.99"/>
    <n v="1449.71"/>
    <n v="10"/>
    <n v="1304.739"/>
    <s v="Cancelled"/>
    <n v="1449.71"/>
    <n v="1399.72"/>
    <s v="October"/>
    <n v="-1254.749"/>
    <n v="1.0727969348659003"/>
    <n v="44.991"/>
    <s v="Large"/>
    <s v="High"/>
  </r>
  <r>
    <s v="ORD-0369"/>
    <s v="2025-10-16"/>
    <s v="James Rivera"/>
    <x v="3"/>
    <s v="Monitor Arm"/>
    <s v="Accessories"/>
    <n v="2"/>
    <n v="79.989999999999995"/>
    <n v="159.97999999999999"/>
    <n v="0"/>
    <n v="159.97999999999999"/>
    <s v="Completed"/>
    <n v="159.97999999999999"/>
    <n v="79.989999999999995"/>
    <s v="October"/>
    <n v="-79.989999999999995"/>
    <n v="0.5"/>
    <n v="79.989999999999995"/>
    <s v="Small"/>
    <s v="High"/>
  </r>
  <r>
    <s v="ORD-0141"/>
    <s v="2025-10-17"/>
    <s v="Henry Wu"/>
    <x v="0"/>
    <s v="Mechanical Keyboard"/>
    <s v="Accessories"/>
    <n v="24"/>
    <n v="89.99"/>
    <n v="2159.7599999999998"/>
    <n v="15"/>
    <n v="1835.7959999999998"/>
    <s v="Completed"/>
    <n v="2159.7599999999998"/>
    <n v="2069.77"/>
    <s v="October"/>
    <n v="-1745.8059999999998"/>
    <n v="1.1274509803921569"/>
    <n v="76.491499999999988"/>
    <s v="Large"/>
    <s v="Low"/>
  </r>
  <r>
    <s v="ORD-0102"/>
    <s v="2025-10-20"/>
    <s v="David Kim"/>
    <x v="2"/>
    <s v="Mechanical Keyboard"/>
    <s v="Accessories"/>
    <n v="15"/>
    <n v="89.99"/>
    <n v="1349.85"/>
    <n v="0"/>
    <n v="1349.85"/>
    <s v="Completed"/>
    <n v="1349.85"/>
    <n v="1259.8599999999999"/>
    <s v="October"/>
    <n v="-1259.8599999999999"/>
    <n v="0.93333333333333335"/>
    <n v="89.99"/>
    <s v="Large"/>
    <s v="High"/>
  </r>
  <r>
    <s v="ORD-0370"/>
    <s v="2025-10-20"/>
    <s v="James Rivera"/>
    <x v="3"/>
    <s v="Antivirus Suite (1yr)"/>
    <s v="Software"/>
    <n v="22"/>
    <n v="59.99"/>
    <n v="1319.78"/>
    <n v="12"/>
    <n v="1161.4064000000001"/>
    <s v="Completed"/>
    <n v="1319.78"/>
    <n v="1259.79"/>
    <s v="October"/>
    <n v="-1101.4164000000001"/>
    <n v="1.0847107438016528"/>
    <n v="52.791200000000003"/>
    <s v="Large"/>
    <s v="High"/>
  </r>
  <r>
    <s v="ORD-0305"/>
    <s v="2025-10-21"/>
    <s v="Frank Ng"/>
    <x v="2"/>
    <s v="Webcam HD"/>
    <s v="Electronics"/>
    <n v="5"/>
    <n v="79.989999999999995"/>
    <n v="399.95"/>
    <n v="0"/>
    <n v="399.95"/>
    <s v="Completed"/>
    <n v="399.95"/>
    <n v="319.95999999999998"/>
    <s v="October"/>
    <n v="-319.95999999999998"/>
    <n v="0.79999999999999993"/>
    <n v="79.989999999999995"/>
    <s v="Small"/>
    <s v="High"/>
  </r>
  <r>
    <s v="ORD-0471"/>
    <s v="2025-10-21"/>
    <s v="Alice Johnson"/>
    <x v="1"/>
    <s v="Desk Lamp"/>
    <s v="Furniture"/>
    <n v="24"/>
    <n v="39.99"/>
    <n v="959.76"/>
    <n v="5"/>
    <n v="911.77199999999993"/>
    <s v="Completed"/>
    <n v="959.76"/>
    <n v="919.77"/>
    <s v="October"/>
    <n v="-871.78199999999993"/>
    <n v="1.0087719298245614"/>
    <n v="37.990499999999997"/>
    <s v="Large"/>
    <s v="Low"/>
  </r>
  <r>
    <s v="ORD-0196"/>
    <s v="2025-10-22"/>
    <s v="Eve Torres"/>
    <x v="3"/>
    <s v="Project Mgmt License"/>
    <s v="Software"/>
    <n v="1"/>
    <n v="149"/>
    <n v="149"/>
    <n v="12"/>
    <n v="131.12"/>
    <s v="Pending"/>
    <n v="149"/>
    <n v="0"/>
    <s v="October"/>
    <n v="17.879999999999995"/>
    <n v="0"/>
    <n v="131.12"/>
    <s v="Small"/>
    <s v="Low"/>
  </r>
  <r>
    <s v="ORD-0394"/>
    <s v="2025-10-22"/>
    <s v="Henry Wu"/>
    <x v="0"/>
    <s v="Monitor Arm"/>
    <s v="Accessories"/>
    <n v="18"/>
    <n v="79.989999999999995"/>
    <n v="1439.82"/>
    <n v="5"/>
    <n v="1367.829"/>
    <s v="Completed"/>
    <n v="1439.82"/>
    <n v="1359.83"/>
    <s v="October"/>
    <n v="-1287.8389999999999"/>
    <n v="0.99415204678362568"/>
    <n v="75.990499999999997"/>
    <s v="Large"/>
    <s v="Low"/>
  </r>
  <r>
    <s v="ORD-0403"/>
    <s v="2025-10-22"/>
    <s v="Henry Wu"/>
    <x v="0"/>
    <s v="Office Chair"/>
    <s v="Furniture"/>
    <n v="21"/>
    <n v="449"/>
    <n v="9429"/>
    <n v="5"/>
    <n v="8957.5499999999993"/>
    <s v="Completed"/>
    <n v="9429"/>
    <n v="8980"/>
    <s v="October"/>
    <n v="-8508.5499999999993"/>
    <n v="1.0025062656641606"/>
    <n v="426.54999999999995"/>
    <s v="Large"/>
    <s v="High"/>
  </r>
  <r>
    <s v="ORD-0158"/>
    <s v="2025-10-23"/>
    <s v="Bob Smith"/>
    <x v="3"/>
    <s v="Laptop Pro 13"/>
    <s v="Electronics"/>
    <n v="6"/>
    <n v="999"/>
    <n v="5994"/>
    <n v="5"/>
    <n v="5694.3"/>
    <s v="Completed"/>
    <n v="5994"/>
    <n v="4995"/>
    <s v="October"/>
    <n v="-4695.3"/>
    <n v="0.8771929824561403"/>
    <n v="949.05000000000007"/>
    <s v="Small"/>
    <s v="High"/>
  </r>
  <r>
    <s v="ORD-0011"/>
    <s v="2025-10-24"/>
    <s v="Bob Smith"/>
    <x v="3"/>
    <s v="Laptop Pro 13"/>
    <s v="Electronics"/>
    <n v="22"/>
    <n v="999"/>
    <n v="21978"/>
    <n v="5"/>
    <n v="20879.099999999999"/>
    <s v="Completed"/>
    <n v="21978"/>
    <n v="20979"/>
    <s v="October"/>
    <n v="-19880.099999999999"/>
    <n v="1.0047846889952154"/>
    <n v="949.05"/>
    <s v="Large"/>
    <s v="High"/>
  </r>
  <r>
    <s v="ORD-0264"/>
    <s v="2025-10-24"/>
    <s v="Grace Park"/>
    <x v="1"/>
    <s v="Design Suite License"/>
    <s v="Software"/>
    <n v="21"/>
    <n v="299"/>
    <n v="6279"/>
    <n v="10"/>
    <n v="5651.1"/>
    <s v="Completed"/>
    <n v="6279"/>
    <n v="5980"/>
    <s v="October"/>
    <n v="-5352.1"/>
    <n v="1.0582010582010581"/>
    <n v="269.10000000000002"/>
    <s v="Large"/>
    <s v="High"/>
  </r>
  <r>
    <s v="ORD-0341"/>
    <s v="2025-10-25"/>
    <s v="Frank Ng"/>
    <x v="2"/>
    <s v="Project Mgmt License"/>
    <s v="Software"/>
    <n v="12"/>
    <n v="149"/>
    <n v="1788"/>
    <n v="0"/>
    <n v="1788"/>
    <s v="Completed"/>
    <n v="1788"/>
    <n v="1639"/>
    <s v="October"/>
    <n v="-1639"/>
    <n v="0.91666666666666663"/>
    <n v="149"/>
    <s v="Large"/>
    <s v="High"/>
  </r>
  <r>
    <s v="ORD-0154"/>
    <s v="2025-10-26"/>
    <s v="Henry Wu"/>
    <x v="0"/>
    <s v="Design Suite License"/>
    <s v="Software"/>
    <n v="20"/>
    <n v="299"/>
    <n v="5980"/>
    <n v="12"/>
    <n v="5262.4"/>
    <s v="Completed"/>
    <n v="5980"/>
    <n v="5681"/>
    <s v="October"/>
    <n v="-4963.3999999999996"/>
    <n v="1.0795454545454546"/>
    <n v="263.12"/>
    <s v="Large"/>
    <s v="High"/>
  </r>
  <r>
    <s v="ORD-0200"/>
    <s v="2025-10-30"/>
    <s v="Grace Park"/>
    <x v="1"/>
    <s v="Bookshelf"/>
    <s v="Furniture"/>
    <n v="12"/>
    <n v="199"/>
    <n v="2388"/>
    <n v="5"/>
    <n v="2268.6"/>
    <s v="Completed"/>
    <n v="2388"/>
    <n v="2189"/>
    <s v="October"/>
    <n v="-2069.6"/>
    <n v="0.96491228070175439"/>
    <n v="189.04999999999998"/>
    <s v="Large"/>
    <s v="High"/>
  </r>
  <r>
    <s v="ORD-0205"/>
    <s v="2025-10-30"/>
    <s v="Frank Ng"/>
    <x v="2"/>
    <s v="Cloud Backup (1yr)"/>
    <s v="Software"/>
    <n v="5"/>
    <n v="99"/>
    <n v="495"/>
    <n v="0"/>
    <n v="495"/>
    <s v="Completed"/>
    <n v="495"/>
    <n v="396"/>
    <s v="October"/>
    <n v="-396"/>
    <n v="0.8"/>
    <n v="99"/>
    <s v="Small"/>
    <s v="High"/>
  </r>
  <r>
    <s v="ORD-0027"/>
    <s v="2025-11-02"/>
    <s v="Carol Lee"/>
    <x v="0"/>
    <s v="Desk Lamp"/>
    <s v="Furniture"/>
    <n v="30"/>
    <n v="39.99"/>
    <n v="1199.7"/>
    <n v="0"/>
    <n v="1199.7"/>
    <s v="Pending"/>
    <n v="1199.7"/>
    <n v="1159.71"/>
    <s v="November"/>
    <n v="-1159.71"/>
    <n v="0.96666666666666667"/>
    <n v="39.99"/>
    <s v="Large"/>
    <s v="Low"/>
  </r>
  <r>
    <s v="ORD-0392"/>
    <s v="2025-11-02"/>
    <s v="Henry Wu"/>
    <x v="0"/>
    <s v="Noise Cancelling Headphones"/>
    <s v="Electronics"/>
    <n v="8"/>
    <n v="249"/>
    <n v="1992"/>
    <n v="5"/>
    <n v="1892.3999999999999"/>
    <s v="Completed"/>
    <n v="1992"/>
    <n v="1743"/>
    <s v="November"/>
    <n v="-1643.3999999999999"/>
    <n v="0.92105263157894746"/>
    <n v="236.54999999999998"/>
    <s v="Small"/>
    <s v="High"/>
  </r>
  <r>
    <s v="ORD-0061"/>
    <s v="2025-11-03"/>
    <s v="Iris Patel"/>
    <x v="1"/>
    <s v="Laptop Pro 15"/>
    <s v="Electronics"/>
    <n v="22"/>
    <n v="1299"/>
    <n v="28578"/>
    <n v="15"/>
    <n v="24291.3"/>
    <s v="Pending"/>
    <n v="28578"/>
    <n v="27279"/>
    <s v="November"/>
    <n v="-22992.3"/>
    <n v="1.1229946524064172"/>
    <n v="1104.1499999999999"/>
    <s v="Large"/>
    <s v="High"/>
  </r>
  <r>
    <s v="ORD-0380"/>
    <s v="2025-11-03"/>
    <s v="James Rivera"/>
    <x v="3"/>
    <s v="Laptop Stand"/>
    <s v="Accessories"/>
    <n v="6"/>
    <n v="59.99"/>
    <n v="359.94"/>
    <n v="10"/>
    <n v="323.94600000000003"/>
    <s v="Completed"/>
    <n v="359.94"/>
    <n v="299.95"/>
    <s v="November"/>
    <n v="-263.95600000000002"/>
    <n v="0.92592592592592582"/>
    <n v="53.991000000000007"/>
    <s v="Small"/>
    <s v="High"/>
  </r>
  <r>
    <s v="ORD-0499"/>
    <s v="2025-11-03"/>
    <s v="Carol Lee"/>
    <x v="0"/>
    <s v="Standing Desk"/>
    <s v="Furniture"/>
    <n v="9"/>
    <n v="549"/>
    <n v="4941"/>
    <n v="10"/>
    <n v="4446.9000000000005"/>
    <s v="Completed"/>
    <n v="4941"/>
    <n v="4392"/>
    <s v="November"/>
    <n v="-3897.9000000000005"/>
    <n v="0.98765432098765416"/>
    <n v="494.10000000000008"/>
    <s v="Small"/>
    <s v="Low"/>
  </r>
  <r>
    <s v="ORD-0086"/>
    <s v="2025-11-05"/>
    <s v="Grace Park"/>
    <x v="1"/>
    <s v="Project Mgmt License"/>
    <s v="Software"/>
    <n v="13"/>
    <n v="149"/>
    <n v="1937"/>
    <n v="0"/>
    <n v="1937"/>
    <s v="Completed"/>
    <n v="1937"/>
    <n v="1788"/>
    <s v="November"/>
    <n v="-1788"/>
    <n v="0.92307692307692313"/>
    <n v="149"/>
    <s v="Large"/>
    <s v="High"/>
  </r>
  <r>
    <s v="ORD-0232"/>
    <s v="2025-11-05"/>
    <s v="David Kim"/>
    <x v="2"/>
    <s v="Filing Cabinet"/>
    <s v="Furniture"/>
    <n v="2"/>
    <n v="169"/>
    <n v="338"/>
    <n v="15"/>
    <n v="287.3"/>
    <s v="Completed"/>
    <n v="338"/>
    <n v="169"/>
    <s v="November"/>
    <n v="-118.30000000000001"/>
    <n v="0.58823529411764708"/>
    <n v="143.65"/>
    <s v="Small"/>
    <s v="High"/>
  </r>
  <r>
    <s v="ORD-0060"/>
    <s v="2025-11-06"/>
    <s v="Frank Ng"/>
    <x v="2"/>
    <s v="USB-C Hub"/>
    <s v="Accessories"/>
    <n v="6"/>
    <n v="49.99"/>
    <n v="299.94"/>
    <n v="12"/>
    <n v="263.94720000000001"/>
    <s v="Completed"/>
    <n v="299.94"/>
    <n v="249.95"/>
    <s v="November"/>
    <n v="-213.9572"/>
    <n v="0.94696969696969691"/>
    <n v="43.991199999999999"/>
    <s v="Small"/>
    <s v="Low"/>
  </r>
  <r>
    <s v="ORD-0214"/>
    <s v="2025-11-06"/>
    <s v="David Kim"/>
    <x v="2"/>
    <s v="Antivirus Suite (1yr)"/>
    <s v="Software"/>
    <n v="3"/>
    <n v="59.99"/>
    <n v="179.97"/>
    <n v="12"/>
    <n v="158.37360000000001"/>
    <s v="Pending"/>
    <n v="179.97"/>
    <n v="119.97999999999999"/>
    <s v="November"/>
    <n v="-98.383600000000001"/>
    <n v="0.75757575757575746"/>
    <n v="52.791200000000003"/>
    <s v="Small"/>
    <s v="Low"/>
  </r>
  <r>
    <s v="ORD-0150"/>
    <s v="2025-11-09"/>
    <s v="Henry Wu"/>
    <x v="0"/>
    <s v="USB-C Hub"/>
    <s v="Accessories"/>
    <n v="28"/>
    <n v="49.99"/>
    <n v="1399.72"/>
    <n v="10"/>
    <n v="1259.748"/>
    <s v="Completed"/>
    <n v="1399.72"/>
    <n v="1349.73"/>
    <s v="November"/>
    <n v="-1209.758"/>
    <n v="1.0714285714285714"/>
    <n v="44.991"/>
    <s v="Large"/>
    <s v="Low"/>
  </r>
  <r>
    <s v="ORD-0328"/>
    <s v="2025-11-10"/>
    <s v="Bob Smith"/>
    <x v="3"/>
    <s v="Laptop Stand"/>
    <s v="Accessories"/>
    <n v="22"/>
    <n v="59.99"/>
    <n v="1319.78"/>
    <n v="5"/>
    <n v="1253.7909999999999"/>
    <s v="Completed"/>
    <n v="1319.78"/>
    <n v="1259.79"/>
    <s v="November"/>
    <n v="-1193.8009999999999"/>
    <n v="1.0047846889952152"/>
    <n v="56.990499999999997"/>
    <s v="Large"/>
    <s v="High"/>
  </r>
  <r>
    <s v="ORD-0257"/>
    <s v="2025-11-12"/>
    <s v="Grace Park"/>
    <x v="1"/>
    <s v="Monitor 32&quot;"/>
    <s v="Electronics"/>
    <n v="10"/>
    <n v="599"/>
    <n v="5990"/>
    <n v="12"/>
    <n v="5271.2"/>
    <s v="Completed"/>
    <n v="5990"/>
    <n v="5391"/>
    <s v="November"/>
    <n v="-4672.2"/>
    <n v="1.0227272727272727"/>
    <n v="527.12"/>
    <s v="Large"/>
    <s v="High"/>
  </r>
  <r>
    <s v="ORD-0491"/>
    <s v="2025-11-12"/>
    <s v="Frank Ng"/>
    <x v="2"/>
    <s v="Monitor 32&quot;"/>
    <s v="Electronics"/>
    <n v="3"/>
    <n v="599"/>
    <n v="1797"/>
    <n v="0"/>
    <n v="1797"/>
    <s v="Completed"/>
    <n v="1797"/>
    <n v="1198"/>
    <s v="November"/>
    <n v="-1198"/>
    <n v="0.66666666666666663"/>
    <n v="599"/>
    <s v="Small"/>
    <s v="High"/>
  </r>
  <r>
    <s v="ORD-0249"/>
    <s v="2025-11-13"/>
    <s v="Eve Torres"/>
    <x v="3"/>
    <s v="Laptop Pro 15"/>
    <s v="Electronics"/>
    <n v="6"/>
    <n v="1299"/>
    <n v="7794"/>
    <n v="5"/>
    <n v="7404.2999999999993"/>
    <s v="Completed"/>
    <n v="7794"/>
    <n v="6495"/>
    <s v="November"/>
    <n v="-6105.2999999999993"/>
    <n v="0.87719298245614041"/>
    <n v="1234.05"/>
    <s v="Small"/>
    <s v="High"/>
  </r>
  <r>
    <s v="ORD-0091"/>
    <s v="2025-11-14"/>
    <s v="James Rivera"/>
    <x v="3"/>
    <s v="Laptop Stand"/>
    <s v="Accessories"/>
    <n v="3"/>
    <n v="59.99"/>
    <n v="179.97"/>
    <n v="5"/>
    <n v="170.97149999999999"/>
    <s v="Completed"/>
    <n v="179.97"/>
    <n v="119.97999999999999"/>
    <s v="November"/>
    <n v="-110.98149999999998"/>
    <n v="0.70175438596491224"/>
    <n v="56.990499999999997"/>
    <s v="Small"/>
    <s v="High"/>
  </r>
  <r>
    <s v="ORD-0285"/>
    <s v="2025-11-14"/>
    <s v="James Rivera"/>
    <x v="3"/>
    <s v="Project Mgmt License"/>
    <s v="Software"/>
    <n v="5"/>
    <n v="149"/>
    <n v="745"/>
    <n v="8"/>
    <n v="685.4"/>
    <s v="Pending"/>
    <n v="745"/>
    <n v="596"/>
    <s v="November"/>
    <n v="-536.4"/>
    <n v="0.86956521739130432"/>
    <n v="137.07999999999998"/>
    <s v="Small"/>
    <s v="Low"/>
  </r>
  <r>
    <s v="ORD-0286"/>
    <s v="2025-11-14"/>
    <s v="Grace Park"/>
    <x v="1"/>
    <s v="Webcam HD"/>
    <s v="Electronics"/>
    <n v="20"/>
    <n v="79.989999999999995"/>
    <n v="1599.8"/>
    <n v="0"/>
    <n v="1599.8"/>
    <s v="Completed"/>
    <n v="1599.8"/>
    <n v="1519.81"/>
    <s v="November"/>
    <n v="-1519.81"/>
    <n v="0.95"/>
    <n v="79.989999999999995"/>
    <s v="Large"/>
    <s v="Low"/>
  </r>
  <r>
    <s v="ORD-0173"/>
    <s v="2025-11-15"/>
    <s v="James Rivera"/>
    <x v="3"/>
    <s v="Wireless Mouse"/>
    <s v="Accessories"/>
    <n v="23"/>
    <n v="29.99"/>
    <n v="689.77"/>
    <n v="0"/>
    <n v="689.77"/>
    <s v="Completed"/>
    <n v="689.77"/>
    <n v="659.78"/>
    <s v="November"/>
    <n v="-659.78"/>
    <n v="0.95652173913043481"/>
    <n v="29.99"/>
    <s v="Large"/>
    <s v="High"/>
  </r>
  <r>
    <s v="ORD-0417"/>
    <s v="2025-11-15"/>
    <s v="Eve Torres"/>
    <x v="3"/>
    <s v="Webcam 4K"/>
    <s v="Electronics"/>
    <n v="13"/>
    <n v="149.99"/>
    <n v="1949.8700000000001"/>
    <n v="15"/>
    <n v="1657.3895"/>
    <s v="Pending"/>
    <n v="1949.8700000000001"/>
    <n v="1799.88"/>
    <s v="November"/>
    <n v="-1507.3995"/>
    <n v="1.0859728506787332"/>
    <n v="127.4915"/>
    <s v="Large"/>
    <s v="Low"/>
  </r>
  <r>
    <s v="ORD-0034"/>
    <s v="2025-11-16"/>
    <s v="Iris Patel"/>
    <x v="1"/>
    <s v="VPN License (1yr)"/>
    <s v="Software"/>
    <n v="24"/>
    <n v="49.99"/>
    <n v="1199.76"/>
    <n v="5"/>
    <n v="1139.7719999999999"/>
    <s v="Completed"/>
    <n v="1199.76"/>
    <n v="1149.77"/>
    <s v="November"/>
    <n v="-1089.7819999999999"/>
    <n v="1.0087719298245614"/>
    <n v="47.490499999999997"/>
    <s v="Large"/>
    <s v="High"/>
  </r>
  <r>
    <s v="ORD-0083"/>
    <s v="2025-11-18"/>
    <s v="Grace Park"/>
    <x v="1"/>
    <s v="Monitor 27&quot;"/>
    <s v="Electronics"/>
    <n v="22"/>
    <n v="399"/>
    <n v="8778"/>
    <n v="8"/>
    <n v="8075.76"/>
    <s v="Pending"/>
    <n v="8778"/>
    <n v="8379"/>
    <s v="November"/>
    <n v="-7676.76"/>
    <n v="1.0375494071146245"/>
    <n v="367.08"/>
    <s v="Large"/>
    <s v="High"/>
  </r>
  <r>
    <s v="ORD-0139"/>
    <s v="2025-11-20"/>
    <s v="Eve Torres"/>
    <x v="3"/>
    <s v="Wireless Mouse"/>
    <s v="Accessories"/>
    <n v="4"/>
    <n v="29.99"/>
    <n v="119.96"/>
    <n v="5"/>
    <n v="113.96199999999999"/>
    <s v="Completed"/>
    <n v="119.96"/>
    <n v="89.97"/>
    <s v="November"/>
    <n v="-83.971999999999994"/>
    <n v="0.78947368421052633"/>
    <n v="28.490499999999997"/>
    <s v="Small"/>
    <s v="High"/>
  </r>
  <r>
    <s v="ORD-0098"/>
    <s v="2025-11-21"/>
    <s v="Henry Wu"/>
    <x v="0"/>
    <s v="Project Mgmt License"/>
    <s v="Software"/>
    <n v="17"/>
    <n v="149"/>
    <n v="2533"/>
    <n v="15"/>
    <n v="2153.0499999999997"/>
    <s v="Cancelled"/>
    <n v="2533"/>
    <n v="2384"/>
    <s v="November"/>
    <n v="-2004.0499999999997"/>
    <n v="1.1072664359861593"/>
    <n v="126.64999999999998"/>
    <s v="Large"/>
    <s v="Low"/>
  </r>
  <r>
    <s v="ORD-0347"/>
    <s v="2025-11-21"/>
    <s v="Grace Park"/>
    <x v="1"/>
    <s v="Bookshelf"/>
    <s v="Furniture"/>
    <n v="3"/>
    <n v="199"/>
    <n v="597"/>
    <n v="0"/>
    <n v="597"/>
    <s v="Pending"/>
    <n v="597"/>
    <n v="398"/>
    <s v="November"/>
    <n v="-398"/>
    <n v="0.66666666666666663"/>
    <n v="199"/>
    <s v="Small"/>
    <s v="High"/>
  </r>
  <r>
    <s v="ORD-0459"/>
    <s v="2025-11-24"/>
    <s v="Henry Wu"/>
    <x v="0"/>
    <s v="Monitor 32&quot;"/>
    <s v="Electronics"/>
    <n v="26"/>
    <n v="599"/>
    <n v="15574"/>
    <n v="12"/>
    <n v="13705.12"/>
    <s v="Completed"/>
    <n v="15574"/>
    <n v="14975"/>
    <s v="November"/>
    <n v="-13106.12"/>
    <n v="1.0926573426573425"/>
    <n v="527.12"/>
    <s v="Large"/>
    <s v="Low"/>
  </r>
  <r>
    <s v="ORD-0165"/>
    <s v="2025-11-25"/>
    <s v="Henry Wu"/>
    <x v="0"/>
    <s v="Monitor Arm"/>
    <s v="Accessories"/>
    <n v="14"/>
    <n v="79.989999999999995"/>
    <n v="1119.8599999999999"/>
    <n v="8"/>
    <n v="1030.2711999999999"/>
    <s v="Pending"/>
    <n v="1119.8599999999999"/>
    <n v="1039.8699999999999"/>
    <s v="November"/>
    <n v="-950.2811999999999"/>
    <n v="1.0093167701863355"/>
    <n v="73.590799999999987"/>
    <s v="Large"/>
    <s v="High"/>
  </r>
  <r>
    <s v="ORD-0327"/>
    <s v="2025-11-25"/>
    <s v="James Rivera"/>
    <x v="3"/>
    <s v="Webcam 4K"/>
    <s v="Electronics"/>
    <n v="18"/>
    <n v="149.99"/>
    <n v="2699.82"/>
    <n v="5"/>
    <n v="2564.8290000000002"/>
    <s v="Completed"/>
    <n v="2699.82"/>
    <n v="2549.83"/>
    <s v="November"/>
    <n v="-2414.8389999999999"/>
    <n v="0.99415204678362568"/>
    <n v="142.4905"/>
    <s v="Large"/>
    <s v="High"/>
  </r>
  <r>
    <s v="ORD-0442"/>
    <s v="2025-11-25"/>
    <s v="Eve Torres"/>
    <x v="3"/>
    <s v="Wireless Mouse"/>
    <s v="Accessories"/>
    <n v="27"/>
    <n v="29.99"/>
    <n v="809.7299999999999"/>
    <n v="8"/>
    <n v="744.95159999999998"/>
    <s v="Completed"/>
    <n v="809.7299999999999"/>
    <n v="779.7399999999999"/>
    <s v="November"/>
    <n v="-714.96159999999998"/>
    <n v="1.0466988727858293"/>
    <n v="27.590799999999998"/>
    <s v="Large"/>
    <s v="High"/>
  </r>
  <r>
    <s v="ORD-0129"/>
    <s v="2025-11-27"/>
    <s v="Grace Park"/>
    <x v="1"/>
    <s v="Cloud Backup (1yr)"/>
    <s v="Software"/>
    <n v="19"/>
    <n v="99"/>
    <n v="1881"/>
    <n v="5"/>
    <n v="1786.9499999999998"/>
    <s v="Completed"/>
    <n v="1881"/>
    <n v="1782"/>
    <s v="November"/>
    <n v="-1687.9499999999998"/>
    <n v="0.99722991689750706"/>
    <n v="94.05"/>
    <s v="Large"/>
    <s v="Low"/>
  </r>
  <r>
    <s v="ORD-0272"/>
    <s v="2025-11-27"/>
    <s v="Henry Wu"/>
    <x v="0"/>
    <s v="Ergonomic Chair"/>
    <s v="Furniture"/>
    <n v="25"/>
    <n v="299"/>
    <n v="7475"/>
    <n v="12"/>
    <n v="6578"/>
    <s v="Pending"/>
    <n v="7475"/>
    <n v="7176"/>
    <s v="November"/>
    <n v="-6279"/>
    <n v="1.0909090909090908"/>
    <n v="263.12"/>
    <s v="Large"/>
    <s v="High"/>
  </r>
  <r>
    <s v="ORD-0413"/>
    <s v="2025-11-28"/>
    <s v="Bob Smith"/>
    <x v="3"/>
    <s v="Webcam 4K"/>
    <s v="Electronics"/>
    <n v="5"/>
    <n v="149.99"/>
    <n v="749.95"/>
    <n v="12"/>
    <n v="659.95600000000002"/>
    <s v="Completed"/>
    <n v="749.95"/>
    <n v="599.96"/>
    <s v="November"/>
    <n v="-509.96600000000001"/>
    <n v="0.90909090909090917"/>
    <n v="131.99119999999999"/>
    <s v="Small"/>
    <s v="High"/>
  </r>
  <r>
    <s v="ORD-0236"/>
    <s v="2025-11-29"/>
    <s v="James Rivera"/>
    <x v="3"/>
    <s v="Antivirus Suite (1yr)"/>
    <s v="Software"/>
    <n v="19"/>
    <n v="59.99"/>
    <n v="1139.81"/>
    <n v="15"/>
    <n v="968.83849999999995"/>
    <s v="Completed"/>
    <n v="1139.81"/>
    <n v="1079.82"/>
    <s v="November"/>
    <n v="-908.84849999999994"/>
    <n v="1.1145510835913313"/>
    <n v="50.991499999999995"/>
    <s v="Large"/>
    <s v="Low"/>
  </r>
  <r>
    <s v="ORD-0389"/>
    <s v="2025-11-29"/>
    <s v="Carol Lee"/>
    <x v="0"/>
    <s v="Desk Lamp"/>
    <s v="Furniture"/>
    <n v="7"/>
    <n v="39.99"/>
    <n v="279.93"/>
    <n v="15"/>
    <n v="237.94049999999999"/>
    <s v="Pending"/>
    <n v="279.93"/>
    <n v="239.94"/>
    <s v="November"/>
    <n v="-197.95049999999998"/>
    <n v="1.0084033613445378"/>
    <n v="33.991499999999995"/>
    <s v="Small"/>
    <s v="Low"/>
  </r>
  <r>
    <s v="ORD-0486"/>
    <s v="2025-12-01"/>
    <s v="Frank Ng"/>
    <x v="2"/>
    <s v="Filing Cabinet"/>
    <s v="Furniture"/>
    <n v="25"/>
    <n v="169"/>
    <n v="4225"/>
    <n v="10"/>
    <n v="3802.5"/>
    <s v="Completed"/>
    <n v="4225"/>
    <n v="4056"/>
    <s v="December"/>
    <n v="-3633.5"/>
    <n v="1.0666666666666667"/>
    <n v="152.1"/>
    <s v="Large"/>
    <s v="Low"/>
  </r>
  <r>
    <s v="ORD-0213"/>
    <s v="2025-12-02"/>
    <s v="Alice Johnson"/>
    <x v="1"/>
    <s v="Filing Cabinet"/>
    <s v="Furniture"/>
    <n v="29"/>
    <n v="169"/>
    <n v="4901"/>
    <n v="15"/>
    <n v="4165.8499999999995"/>
    <s v="Completed"/>
    <n v="4901"/>
    <n v="4732"/>
    <s v="December"/>
    <n v="-3996.8499999999995"/>
    <n v="1.1359026369168359"/>
    <n v="143.64999999999998"/>
    <s v="Large"/>
    <s v="High"/>
  </r>
  <r>
    <s v="ORD-0365"/>
    <s v="2025-12-02"/>
    <s v="Grace Park"/>
    <x v="1"/>
    <s v="Wireless Mouse"/>
    <s v="Accessories"/>
    <n v="28"/>
    <n v="29.99"/>
    <n v="839.71999999999991"/>
    <n v="0"/>
    <n v="839.71999999999991"/>
    <s v="Completed"/>
    <n v="839.71999999999991"/>
    <n v="809.7299999999999"/>
    <s v="December"/>
    <n v="-809.7299999999999"/>
    <n v="0.9642857142857143"/>
    <n v="29.99"/>
    <s v="Large"/>
    <s v="High"/>
  </r>
  <r>
    <s v="ORD-0424"/>
    <s v="2025-12-02"/>
    <s v="James Rivera"/>
    <x v="3"/>
    <s v="Whiteboard"/>
    <s v="Furniture"/>
    <n v="5"/>
    <n v="129"/>
    <n v="645"/>
    <n v="0"/>
    <n v="645"/>
    <s v="Completed"/>
    <n v="645"/>
    <n v="516"/>
    <s v="December"/>
    <n v="-516"/>
    <n v="0.8"/>
    <n v="129"/>
    <s v="Small"/>
    <s v="Low"/>
  </r>
  <r>
    <s v="ORD-0243"/>
    <s v="2025-12-04"/>
    <s v="Iris Patel"/>
    <x v="1"/>
    <s v="Laptop Pro 13"/>
    <s v="Electronics"/>
    <n v="19"/>
    <n v="999"/>
    <n v="18981"/>
    <n v="15"/>
    <n v="16133.85"/>
    <s v="Pending"/>
    <n v="18981"/>
    <n v="17982"/>
    <s v="December"/>
    <n v="-15134.85"/>
    <n v="1.1145510835913313"/>
    <n v="849.15"/>
    <s v="Large"/>
    <s v="Low"/>
  </r>
  <r>
    <s v="ORD-0038"/>
    <s v="2025-12-05"/>
    <s v="Alice Johnson"/>
    <x v="1"/>
    <s v="Wireless Mouse"/>
    <s v="Accessories"/>
    <n v="3"/>
    <n v="29.99"/>
    <n v="89.97"/>
    <n v="0"/>
    <n v="89.97"/>
    <s v="Completed"/>
    <n v="89.97"/>
    <n v="59.980000000000004"/>
    <s v="December"/>
    <n v="-59.980000000000004"/>
    <n v="0.66666666666666674"/>
    <n v="29.99"/>
    <s v="Small"/>
    <s v="High"/>
  </r>
  <r>
    <s v="ORD-0078"/>
    <s v="2025-12-06"/>
    <s v="Iris Patel"/>
    <x v="1"/>
    <s v="Cable Management Kit"/>
    <s v="Accessories"/>
    <n v="22"/>
    <n v="19.989999999999998"/>
    <n v="439.78"/>
    <n v="15"/>
    <n v="373.81299999999999"/>
    <s v="Completed"/>
    <n v="439.78"/>
    <n v="419.78999999999996"/>
    <s v="December"/>
    <n v="-353.82299999999998"/>
    <n v="1.1229946524064172"/>
    <n v="16.991499999999998"/>
    <s v="Large"/>
    <s v="Low"/>
  </r>
  <r>
    <s v="ORD-0317"/>
    <s v="2025-12-07"/>
    <s v="Frank Ng"/>
    <x v="2"/>
    <s v="Wireless Mouse"/>
    <s v="Accessories"/>
    <n v="24"/>
    <n v="29.99"/>
    <n v="719.76"/>
    <n v="0"/>
    <n v="719.76"/>
    <s v="Completed"/>
    <n v="719.76"/>
    <n v="689.77"/>
    <s v="December"/>
    <n v="-689.77"/>
    <n v="0.95833333333333337"/>
    <n v="29.99"/>
    <s v="Large"/>
    <s v="Low"/>
  </r>
  <r>
    <s v="ORD-0284"/>
    <s v="2025-12-08"/>
    <s v="Eve Torres"/>
    <x v="3"/>
    <s v="Cloud Backup (1yr)"/>
    <s v="Software"/>
    <n v="28"/>
    <n v="99"/>
    <n v="2772"/>
    <n v="0"/>
    <n v="2772"/>
    <s v="Completed"/>
    <n v="2772"/>
    <n v="2673"/>
    <s v="December"/>
    <n v="-2673"/>
    <n v="0.9642857142857143"/>
    <n v="99"/>
    <s v="Large"/>
    <s v="Low"/>
  </r>
  <r>
    <s v="ORD-0378"/>
    <s v="2025-12-08"/>
    <s v="Alice Johnson"/>
    <x v="1"/>
    <s v="Laptop Pro 13"/>
    <s v="Electronics"/>
    <n v="2"/>
    <n v="999"/>
    <n v="1998"/>
    <n v="0"/>
    <n v="1998"/>
    <s v="Completed"/>
    <n v="1998"/>
    <n v="999"/>
    <s v="December"/>
    <n v="-999"/>
    <n v="0.5"/>
    <n v="999"/>
    <s v="Small"/>
    <s v="High"/>
  </r>
  <r>
    <s v="ORD-0407"/>
    <s v="2025-12-10"/>
    <s v="Eve Torres"/>
    <x v="3"/>
    <s v="Bookshelf"/>
    <s v="Furniture"/>
    <n v="20"/>
    <n v="199"/>
    <n v="3980"/>
    <n v="0"/>
    <n v="3980"/>
    <s v="Completed"/>
    <n v="3980"/>
    <n v="3781"/>
    <s v="December"/>
    <n v="-3781"/>
    <n v="0.95"/>
    <n v="199"/>
    <s v="Large"/>
    <s v="High"/>
  </r>
  <r>
    <s v="ORD-0131"/>
    <s v="2025-12-11"/>
    <s v="Henry Wu"/>
    <x v="0"/>
    <s v="Bookshelf"/>
    <s v="Furniture"/>
    <n v="20"/>
    <n v="199"/>
    <n v="3980"/>
    <n v="10"/>
    <n v="3582"/>
    <s v="Completed"/>
    <n v="3980"/>
    <n v="3781"/>
    <s v="December"/>
    <n v="-3383"/>
    <n v="1.0555555555555556"/>
    <n v="179.1"/>
    <s v="Large"/>
    <s v="High"/>
  </r>
  <r>
    <s v="ORD-0187"/>
    <s v="2025-12-13"/>
    <s v="Carol Lee"/>
    <x v="0"/>
    <s v="Monitor 27&quot;"/>
    <s v="Electronics"/>
    <n v="16"/>
    <n v="399"/>
    <n v="6384"/>
    <n v="5"/>
    <n v="6064.7999999999993"/>
    <s v="Completed"/>
    <n v="6384"/>
    <n v="5985"/>
    <s v="December"/>
    <n v="-5665.7999999999993"/>
    <n v="0.98684210526315796"/>
    <n v="379.04999999999995"/>
    <s v="Large"/>
    <s v="High"/>
  </r>
  <r>
    <s v="ORD-0137"/>
    <s v="2025-12-19"/>
    <s v="James Rivera"/>
    <x v="3"/>
    <s v="Monitor Arm"/>
    <s v="Accessories"/>
    <n v="16"/>
    <n v="79.989999999999995"/>
    <n v="1279.8399999999999"/>
    <n v="15"/>
    <n v="1087.8639999999998"/>
    <s v="Completed"/>
    <n v="1279.8399999999999"/>
    <n v="1199.8499999999999"/>
    <s v="December"/>
    <n v="-1007.8739999999998"/>
    <n v="1.1029411764705883"/>
    <n v="67.991499999999988"/>
    <s v="Large"/>
    <s v="High"/>
  </r>
  <r>
    <s v="ORD-0348"/>
    <s v="2025-12-19"/>
    <s v="Bob Smith"/>
    <x v="3"/>
    <s v="Ergonomic Chair"/>
    <s v="Furniture"/>
    <n v="15"/>
    <n v="299"/>
    <n v="4485"/>
    <n v="15"/>
    <n v="3812.25"/>
    <s v="Completed"/>
    <n v="4485"/>
    <n v="4186"/>
    <s v="December"/>
    <n v="-3513.25"/>
    <n v="1.0980392156862746"/>
    <n v="254.15"/>
    <s v="Large"/>
    <s v="High"/>
  </r>
  <r>
    <s v="ORD-0445"/>
    <s v="2025-12-19"/>
    <s v="Grace Park"/>
    <x v="1"/>
    <s v="Whiteboard"/>
    <s v="Furniture"/>
    <n v="16"/>
    <n v="129"/>
    <n v="2064"/>
    <n v="0"/>
    <n v="2064"/>
    <s v="Pending"/>
    <n v="2064"/>
    <n v="1935"/>
    <s v="December"/>
    <n v="-1935"/>
    <n v="0.9375"/>
    <n v="129"/>
    <s v="Large"/>
    <s v="High"/>
  </r>
  <r>
    <s v="ORD-0197"/>
    <s v="2025-12-20"/>
    <s v="Iris Patel"/>
    <x v="1"/>
    <s v="Webcam 4K"/>
    <s v="Electronics"/>
    <n v="3"/>
    <n v="149.99"/>
    <n v="449.97"/>
    <n v="12"/>
    <n v="395.97360000000003"/>
    <s v="Completed"/>
    <n v="449.97"/>
    <n v="299.98"/>
    <s v="December"/>
    <n v="-245.98360000000002"/>
    <n v="0.75757575757575757"/>
    <n v="131.99120000000002"/>
    <s v="Small"/>
    <s v="High"/>
  </r>
  <r>
    <s v="ORD-0361"/>
    <s v="2025-12-20"/>
    <s v="James Rivera"/>
    <x v="3"/>
    <s v="Webcam HD"/>
    <s v="Electronics"/>
    <n v="11"/>
    <n v="79.989999999999995"/>
    <n v="879.89"/>
    <n v="8"/>
    <n v="809.49880000000007"/>
    <s v="Completed"/>
    <n v="879.89"/>
    <n v="799.9"/>
    <s v="December"/>
    <n v="-729.50880000000006"/>
    <n v="0.98814229249011842"/>
    <n v="73.590800000000002"/>
    <s v="Large"/>
    <s v="Low"/>
  </r>
  <r>
    <s v="ORD-0351"/>
    <s v="2025-12-21"/>
    <s v="Carol Lee"/>
    <x v="0"/>
    <s v="Webcam 4K"/>
    <s v="Electronics"/>
    <n v="11"/>
    <n v="149.99"/>
    <n v="1649.89"/>
    <n v="5"/>
    <n v="1567.3955000000001"/>
    <s v="Completed"/>
    <n v="1649.89"/>
    <n v="1499.9"/>
    <s v="December"/>
    <n v="-1417.4055000000001"/>
    <n v="0.9569377990430622"/>
    <n v="142.4905"/>
    <s v="Large"/>
    <s v="Low"/>
  </r>
  <r>
    <s v="ORD-0436"/>
    <s v="2025-12-21"/>
    <s v="Grace Park"/>
    <x v="1"/>
    <s v="Wireless Mouse"/>
    <s v="Accessories"/>
    <n v="8"/>
    <n v="29.99"/>
    <n v="239.92"/>
    <n v="12"/>
    <n v="211.12959999999998"/>
    <s v="Completed"/>
    <n v="239.92"/>
    <n v="209.92999999999998"/>
    <s v="December"/>
    <n v="-181.13959999999997"/>
    <n v="0.99431818181818177"/>
    <n v="26.391199999999998"/>
    <s v="Small"/>
    <s v="High"/>
  </r>
  <r>
    <s v="ORD-0269"/>
    <s v="2025-12-24"/>
    <s v="Bob Smith"/>
    <x v="3"/>
    <s v="Desk Lamp"/>
    <s v="Furniture"/>
    <n v="17"/>
    <n v="39.99"/>
    <n v="679.83"/>
    <n v="5"/>
    <n v="645.83849999999995"/>
    <s v="Completed"/>
    <n v="679.83"/>
    <n v="639.84"/>
    <s v="December"/>
    <n v="-605.84849999999994"/>
    <n v="0.99071207430340569"/>
    <n v="37.990499999999997"/>
    <s v="Large"/>
    <s v="Low"/>
  </r>
  <r>
    <s v="ORD-0075"/>
    <s v="2025-12-25"/>
    <s v="Henry Wu"/>
    <x v="0"/>
    <s v="Wireless Mouse"/>
    <s v="Accessories"/>
    <n v="7"/>
    <n v="29.99"/>
    <n v="209.92999999999998"/>
    <n v="12"/>
    <n v="184.73839999999998"/>
    <s v="Completed"/>
    <n v="209.92999999999998"/>
    <n v="179.93999999999997"/>
    <s v="December"/>
    <n v="-154.74839999999998"/>
    <n v="0.97402597402597391"/>
    <n v="26.391199999999998"/>
    <s v="Small"/>
    <s v="Low"/>
  </r>
  <r>
    <s v="ORD-0077"/>
    <s v="2025-12-26"/>
    <s v="Eve Torres"/>
    <x v="3"/>
    <s v="Monitor 27&quot;"/>
    <s v="Electronics"/>
    <n v="25"/>
    <n v="399"/>
    <n v="9975"/>
    <n v="5"/>
    <n v="9476.25"/>
    <s v="Pending"/>
    <n v="9975"/>
    <n v="9576"/>
    <s v="December"/>
    <n v="-9077.25"/>
    <n v="1.0105263157894737"/>
    <n v="379.05"/>
    <s v="Large"/>
    <s v="Low"/>
  </r>
  <r>
    <s v="ORD-0274"/>
    <s v="2025-12-27"/>
    <s v="Eve Torres"/>
    <x v="3"/>
    <s v="Mechanical Keyboard"/>
    <s v="Accessories"/>
    <n v="19"/>
    <n v="89.99"/>
    <n v="1709.81"/>
    <n v="0"/>
    <n v="1709.81"/>
    <s v="Completed"/>
    <n v="1709.81"/>
    <n v="1619.82"/>
    <s v="December"/>
    <n v="-1619.82"/>
    <n v="0.94736842105263153"/>
    <n v="89.99"/>
    <s v="Large"/>
    <s v="High"/>
  </r>
  <r>
    <s v="ORD-0487"/>
    <s v="2025-12-31"/>
    <s v="Eve Torres"/>
    <x v="3"/>
    <s v="Ergonomic Chair"/>
    <s v="Furniture"/>
    <n v="16"/>
    <n v="299"/>
    <n v="4784"/>
    <n v="5"/>
    <n v="4544.8"/>
    <s v="Completed"/>
    <n v="4784"/>
    <n v="4485"/>
    <s v="December"/>
    <n v="-4245.8"/>
    <n v="0.98684210526315785"/>
    <n v="284.05"/>
    <s v="Large"/>
    <s v="High"/>
  </r>
  <r>
    <s v="ORD-0316"/>
    <s v="2026-01-01"/>
    <s v="Grace Park"/>
    <x v="1"/>
    <s v="Monitor Arm"/>
    <s v="Accessories"/>
    <n v="9"/>
    <n v="79.989999999999995"/>
    <n v="719.91"/>
    <n v="0"/>
    <n v="719.91"/>
    <s v="Completed"/>
    <n v="719.91"/>
    <n v="639.91999999999996"/>
    <s v="January"/>
    <n v="-639.91999999999996"/>
    <n v="0.88888888888888884"/>
    <n v="79.989999999999995"/>
    <s v="Small"/>
    <s v="High"/>
  </r>
  <r>
    <s v="ORD-0070"/>
    <s v="2026-01-02"/>
    <s v="Eve Torres"/>
    <x v="3"/>
    <s v="Monitor Arm"/>
    <s v="Accessories"/>
    <n v="29"/>
    <n v="79.989999999999995"/>
    <n v="2319.71"/>
    <n v="0"/>
    <n v="2319.71"/>
    <s v="Completed"/>
    <n v="2319.71"/>
    <n v="2239.7200000000003"/>
    <s v="January"/>
    <n v="-2239.7200000000003"/>
    <n v="0.96551724137931039"/>
    <n v="79.989999999999995"/>
    <s v="Large"/>
    <s v="Low"/>
  </r>
  <r>
    <s v="ORD-0333"/>
    <s v="2026-01-06"/>
    <s v="Bob Smith"/>
    <x v="3"/>
    <s v="Wireless Mouse"/>
    <s v="Accessories"/>
    <n v="25"/>
    <n v="29.99"/>
    <n v="749.75"/>
    <n v="8"/>
    <n v="689.77"/>
    <s v="Completed"/>
    <n v="749.75"/>
    <n v="719.76"/>
    <s v="January"/>
    <n v="-659.78"/>
    <n v="1.0434782608695652"/>
    <n v="27.590799999999998"/>
    <s v="Large"/>
    <s v="High"/>
  </r>
  <r>
    <s v="ORD-0342"/>
    <s v="2026-01-06"/>
    <s v="Carol Lee"/>
    <x v="0"/>
    <s v="Design Suite License"/>
    <s v="Software"/>
    <n v="23"/>
    <n v="299"/>
    <n v="6877"/>
    <n v="0"/>
    <n v="6877"/>
    <s v="Completed"/>
    <n v="6877"/>
    <n v="6578"/>
    <s v="January"/>
    <n v="-6578"/>
    <n v="0.95652173913043481"/>
    <n v="299"/>
    <s v="Large"/>
    <s v="Low"/>
  </r>
  <r>
    <s v="ORD-0422"/>
    <s v="2026-01-06"/>
    <s v="James Rivera"/>
    <x v="3"/>
    <s v="Monitor 27&quot;"/>
    <s v="Electronics"/>
    <n v="17"/>
    <n v="399"/>
    <n v="6783"/>
    <n v="12"/>
    <n v="5969.04"/>
    <s v="Completed"/>
    <n v="6783"/>
    <n v="6384"/>
    <s v="January"/>
    <n v="-5570.04"/>
    <n v="1.0695187165775402"/>
    <n v="351.12"/>
    <s v="Large"/>
    <s v="High"/>
  </r>
  <r>
    <s v="ORD-0030"/>
    <s v="2026-01-07"/>
    <s v="Frank Ng"/>
    <x v="2"/>
    <s v="Office Chair"/>
    <s v="Furniture"/>
    <n v="1"/>
    <n v="449"/>
    <n v="449"/>
    <n v="0"/>
    <n v="449"/>
    <s v="Completed"/>
    <n v="449"/>
    <n v="0"/>
    <s v="January"/>
    <n v="0"/>
    <n v="0"/>
    <n v="449"/>
    <s v="Small"/>
    <s v="High"/>
  </r>
  <r>
    <s v="ORD-0373"/>
    <s v="2026-01-07"/>
    <s v="Alice Johnson"/>
    <x v="1"/>
    <s v="Bookshelf"/>
    <s v="Furniture"/>
    <n v="18"/>
    <n v="199"/>
    <n v="3582"/>
    <n v="5"/>
    <n v="3402.8999999999996"/>
    <s v="Completed"/>
    <n v="3582"/>
    <n v="3383"/>
    <s v="January"/>
    <n v="-3203.8999999999996"/>
    <n v="0.99415204678362579"/>
    <n v="189.04999999999998"/>
    <s v="Large"/>
    <s v="Low"/>
  </r>
  <r>
    <s v="ORD-0331"/>
    <s v="2026-01-08"/>
    <s v="Alice Johnson"/>
    <x v="1"/>
    <s v="Monitor 27&quot;"/>
    <s v="Electronics"/>
    <n v="22"/>
    <n v="399"/>
    <n v="8778"/>
    <n v="10"/>
    <n v="7900.2"/>
    <s v="Completed"/>
    <n v="8778"/>
    <n v="8379"/>
    <s v="January"/>
    <n v="-7501.2"/>
    <n v="1.0606060606060606"/>
    <n v="359.09999999999997"/>
    <s v="Large"/>
    <s v="High"/>
  </r>
  <r>
    <s v="ORD-0206"/>
    <s v="2026-01-10"/>
    <s v="Grace Park"/>
    <x v="1"/>
    <s v="Webcam 4K"/>
    <s v="Electronics"/>
    <n v="7"/>
    <n v="149.99"/>
    <n v="1049.93"/>
    <n v="0"/>
    <n v="1049.93"/>
    <s v="Completed"/>
    <n v="1049.93"/>
    <n v="899.94"/>
    <s v="January"/>
    <n v="-899.94"/>
    <n v="0.8571428571428571"/>
    <n v="149.99"/>
    <s v="Small"/>
    <s v="High"/>
  </r>
  <r>
    <s v="ORD-0376"/>
    <s v="2026-01-10"/>
    <s v="Grace Park"/>
    <x v="1"/>
    <s v="Monitor Arm"/>
    <s v="Accessories"/>
    <n v="26"/>
    <n v="79.989999999999995"/>
    <n v="2079.7399999999998"/>
    <n v="8"/>
    <n v="1913.3607999999999"/>
    <s v="Cancelled"/>
    <n v="2079.7399999999998"/>
    <n v="1999.7499999999998"/>
    <s v="January"/>
    <n v="-1833.3707999999999"/>
    <n v="1.0451505016722407"/>
    <n v="73.590800000000002"/>
    <s v="Large"/>
    <s v="High"/>
  </r>
  <r>
    <s v="ORD-0325"/>
    <s v="2026-01-12"/>
    <s v="Frank Ng"/>
    <x v="2"/>
    <s v="Webcam 4K"/>
    <s v="Electronics"/>
    <n v="16"/>
    <n v="149.99"/>
    <n v="2399.84"/>
    <n v="12"/>
    <n v="2111.8592000000003"/>
    <s v="Completed"/>
    <n v="2399.84"/>
    <n v="2249.8500000000004"/>
    <s v="January"/>
    <n v="-1961.8692000000003"/>
    <n v="1.0653409090909092"/>
    <n v="131.99120000000002"/>
    <s v="Large"/>
    <s v="High"/>
  </r>
  <r>
    <s v="ORD-0418"/>
    <s v="2026-01-12"/>
    <s v="Bob Smith"/>
    <x v="3"/>
    <s v="Antivirus Suite (1yr)"/>
    <s v="Software"/>
    <n v="30"/>
    <n v="59.99"/>
    <n v="1799.7"/>
    <n v="5"/>
    <n v="1709.7149999999999"/>
    <s v="Completed"/>
    <n v="1799.7"/>
    <n v="1739.71"/>
    <s v="January"/>
    <n v="-1649.7249999999999"/>
    <n v="1.0175438596491229"/>
    <n v="56.990499999999997"/>
    <s v="Large"/>
    <s v="High"/>
  </r>
  <r>
    <s v="ORD-0382"/>
    <s v="2026-01-13"/>
    <s v="James Rivera"/>
    <x v="3"/>
    <s v="USB-C Hub"/>
    <s v="Accessories"/>
    <n v="16"/>
    <n v="49.99"/>
    <n v="799.84"/>
    <n v="0"/>
    <n v="799.84"/>
    <s v="Completed"/>
    <n v="799.84"/>
    <n v="749.85"/>
    <s v="January"/>
    <n v="-749.85"/>
    <n v="0.9375"/>
    <n v="49.99"/>
    <s v="Large"/>
    <s v="High"/>
  </r>
  <r>
    <s v="ORD-0242"/>
    <s v="2026-01-17"/>
    <s v="Bob Smith"/>
    <x v="3"/>
    <s v="Monitor 27&quot;"/>
    <s v="Electronics"/>
    <n v="14"/>
    <n v="399"/>
    <n v="5586"/>
    <n v="0"/>
    <n v="5586"/>
    <s v="Completed"/>
    <n v="5586"/>
    <n v="5187"/>
    <s v="January"/>
    <n v="-5187"/>
    <n v="0.9285714285714286"/>
    <n v="399"/>
    <s v="Large"/>
    <s v="Low"/>
  </r>
  <r>
    <s v="ORD-0281"/>
    <s v="2026-01-17"/>
    <s v="Iris Patel"/>
    <x v="1"/>
    <s v="Filing Cabinet"/>
    <s v="Furniture"/>
    <n v="6"/>
    <n v="169"/>
    <n v="1014"/>
    <n v="8"/>
    <n v="932.88"/>
    <s v="Completed"/>
    <n v="1014"/>
    <n v="845"/>
    <s v="January"/>
    <n v="-763.88"/>
    <n v="0.90579710144927539"/>
    <n v="155.47999999999999"/>
    <s v="Small"/>
    <s v="High"/>
  </r>
  <r>
    <s v="ORD-0028"/>
    <s v="2026-01-18"/>
    <s v="Iris Patel"/>
    <x v="1"/>
    <s v="Filing Cabinet"/>
    <s v="Furniture"/>
    <n v="7"/>
    <n v="169"/>
    <n v="1183"/>
    <n v="0"/>
    <n v="1183"/>
    <s v="Cancelled"/>
    <n v="1183"/>
    <n v="1014"/>
    <s v="January"/>
    <n v="-1014"/>
    <n v="0.8571428571428571"/>
    <n v="169"/>
    <s v="Small"/>
    <s v="Low"/>
  </r>
  <r>
    <s v="ORD-0192"/>
    <s v="2026-01-19"/>
    <s v="Frank Ng"/>
    <x v="2"/>
    <s v="Laptop Pro 13"/>
    <s v="Electronics"/>
    <n v="10"/>
    <n v="999"/>
    <n v="9990"/>
    <n v="8"/>
    <n v="9190.8000000000011"/>
    <s v="Completed"/>
    <n v="9990"/>
    <n v="8991"/>
    <s v="January"/>
    <n v="-8191.8000000000011"/>
    <n v="0.97826086956521729"/>
    <n v="919.08000000000015"/>
    <s v="Large"/>
    <s v="High"/>
  </r>
  <r>
    <s v="ORD-0122"/>
    <s v="2026-01-20"/>
    <s v="Bob Smith"/>
    <x v="3"/>
    <s v="Bookshelf"/>
    <s v="Furniture"/>
    <n v="1"/>
    <n v="199"/>
    <n v="199"/>
    <n v="5"/>
    <n v="189.04999999999998"/>
    <s v="Completed"/>
    <n v="199"/>
    <n v="0"/>
    <s v="January"/>
    <n v="9.9500000000000171"/>
    <n v="0"/>
    <n v="189.04999999999998"/>
    <s v="Small"/>
    <s v="High"/>
  </r>
  <r>
    <s v="ORD-0432"/>
    <s v="2026-01-20"/>
    <s v="Grace Park"/>
    <x v="1"/>
    <s v="Ergonomic Chair"/>
    <s v="Furniture"/>
    <n v="28"/>
    <n v="299"/>
    <n v="8372"/>
    <n v="10"/>
    <n v="7534.8"/>
    <s v="Completed"/>
    <n v="8372"/>
    <n v="8073"/>
    <s v="January"/>
    <n v="-7235.8"/>
    <n v="1.0714285714285714"/>
    <n v="269.10000000000002"/>
    <s v="Large"/>
    <s v="Low"/>
  </r>
  <r>
    <s v="ORD-0292"/>
    <s v="2026-01-21"/>
    <s v="Frank Ng"/>
    <x v="2"/>
    <s v="VPN License (1yr)"/>
    <s v="Software"/>
    <n v="20"/>
    <n v="49.99"/>
    <n v="999.80000000000007"/>
    <n v="0"/>
    <n v="999.80000000000007"/>
    <s v="Completed"/>
    <n v="999.80000000000007"/>
    <n v="949.81000000000006"/>
    <s v="January"/>
    <n v="-949.81000000000006"/>
    <n v="0.95"/>
    <n v="49.99"/>
    <s v="Large"/>
    <s v="High"/>
  </r>
  <r>
    <s v="ORD-0181"/>
    <s v="2026-01-22"/>
    <s v="Iris Patel"/>
    <x v="1"/>
    <s v="Office Chair"/>
    <s v="Furniture"/>
    <n v="12"/>
    <n v="449"/>
    <n v="5388"/>
    <n v="8"/>
    <n v="4956.96"/>
    <s v="Completed"/>
    <n v="5388"/>
    <n v="4939"/>
    <s v="January"/>
    <n v="-4507.96"/>
    <n v="0.99637681159420288"/>
    <n v="413.08"/>
    <s v="Large"/>
    <s v="Low"/>
  </r>
  <r>
    <s v="ORD-0462"/>
    <s v="2026-01-24"/>
    <s v="Carol Lee"/>
    <x v="0"/>
    <s v="Noise Cancelling Headphones"/>
    <s v="Electronics"/>
    <n v="11"/>
    <n v="249"/>
    <n v="2739"/>
    <n v="5"/>
    <n v="2602.0499999999997"/>
    <s v="Completed"/>
    <n v="2739"/>
    <n v="2490"/>
    <s v="January"/>
    <n v="-2353.0499999999997"/>
    <n v="0.95693779904306231"/>
    <n v="236.54999999999998"/>
    <s v="Large"/>
    <s v="High"/>
  </r>
  <r>
    <s v="ORD-0149"/>
    <s v="2026-01-25"/>
    <s v="Iris Patel"/>
    <x v="1"/>
    <s v="VPN License (1yr)"/>
    <s v="Software"/>
    <n v="14"/>
    <n v="49.99"/>
    <n v="699.86"/>
    <n v="5"/>
    <n v="664.86699999999996"/>
    <s v="Completed"/>
    <n v="699.86"/>
    <n v="649.87"/>
    <s v="January"/>
    <n v="-614.87699999999995"/>
    <n v="0.97744360902255645"/>
    <n v="47.490499999999997"/>
    <s v="Large"/>
    <s v="High"/>
  </r>
  <r>
    <s v="ORD-0188"/>
    <s v="2026-01-25"/>
    <s v="Grace Park"/>
    <x v="1"/>
    <s v="Antivirus Suite (1yr)"/>
    <s v="Software"/>
    <n v="3"/>
    <n v="59.99"/>
    <n v="179.97"/>
    <n v="8"/>
    <n v="165.57240000000002"/>
    <s v="Completed"/>
    <n v="179.97"/>
    <n v="119.97999999999999"/>
    <s v="January"/>
    <n v="-105.58240000000001"/>
    <n v="0.72463768115942018"/>
    <n v="55.190800000000003"/>
    <s v="Small"/>
    <s v="Low"/>
  </r>
  <r>
    <s v="ORD-0183"/>
    <s v="2026-01-26"/>
    <s v="Grace Park"/>
    <x v="1"/>
    <s v="Laptop Pro 13"/>
    <s v="Electronics"/>
    <n v="11"/>
    <n v="999"/>
    <n v="10989"/>
    <n v="12"/>
    <n v="9670.32"/>
    <s v="Completed"/>
    <n v="10989"/>
    <n v="9990"/>
    <s v="January"/>
    <n v="-8671.32"/>
    <n v="1.0330578512396695"/>
    <n v="879.12"/>
    <s v="Large"/>
    <s v="Low"/>
  </r>
  <r>
    <s v="ORD-0074"/>
    <s v="2026-01-27"/>
    <s v="David Kim"/>
    <x v="2"/>
    <s v="Mechanical Keyboard"/>
    <s v="Accessories"/>
    <n v="6"/>
    <n v="89.99"/>
    <n v="539.93999999999994"/>
    <n v="0"/>
    <n v="539.93999999999994"/>
    <s v="Completed"/>
    <n v="539.93999999999994"/>
    <n v="449.94999999999993"/>
    <s v="January"/>
    <n v="-449.94999999999993"/>
    <n v="0.83333333333333326"/>
    <n v="89.99"/>
    <s v="Small"/>
    <s v="High"/>
  </r>
  <r>
    <s v="ORD-0297"/>
    <s v="2026-01-27"/>
    <s v="James Rivera"/>
    <x v="3"/>
    <s v="Ergonomic Chair"/>
    <s v="Furniture"/>
    <n v="15"/>
    <n v="299"/>
    <n v="4485"/>
    <n v="5"/>
    <n v="4260.75"/>
    <s v="Completed"/>
    <n v="4485"/>
    <n v="4186"/>
    <s v="January"/>
    <n v="-3961.75"/>
    <n v="0.98245614035087714"/>
    <n v="284.05"/>
    <s v="Large"/>
    <s v="Low"/>
  </r>
  <r>
    <s v="ORD-0182"/>
    <s v="2026-01-28"/>
    <s v="Frank Ng"/>
    <x v="2"/>
    <s v="Noise Cancelling Headphones"/>
    <s v="Electronics"/>
    <n v="23"/>
    <n v="249"/>
    <n v="5727"/>
    <n v="5"/>
    <n v="5440.65"/>
    <s v="Completed"/>
    <n v="5727"/>
    <n v="5478"/>
    <s v="January"/>
    <n v="-5191.6499999999996"/>
    <n v="1.0068649885583525"/>
    <n v="236.54999999999998"/>
    <s v="Large"/>
    <s v="High"/>
  </r>
  <r>
    <s v="ORD-0364"/>
    <s v="2026-01-29"/>
    <s v="Carol Lee"/>
    <x v="0"/>
    <s v="Monitor 32&quot;"/>
    <s v="Electronics"/>
    <n v="2"/>
    <n v="599"/>
    <n v="1198"/>
    <n v="5"/>
    <n v="1138.0999999999999"/>
    <s v="Completed"/>
    <n v="1198"/>
    <n v="599"/>
    <s v="January"/>
    <n v="-539.09999999999991"/>
    <n v="0.52631578947368429"/>
    <n v="569.04999999999995"/>
    <s v="Small"/>
    <s v="High"/>
  </r>
  <r>
    <s v="ORD-0283"/>
    <s v="2026-01-31"/>
    <s v="Frank Ng"/>
    <x v="2"/>
    <s v="Monitor 27&quot;"/>
    <s v="Electronics"/>
    <n v="11"/>
    <n v="399"/>
    <n v="4389"/>
    <n v="0"/>
    <n v="4389"/>
    <s v="Completed"/>
    <n v="4389"/>
    <n v="3990"/>
    <s v="January"/>
    <n v="-3990"/>
    <n v="0.90909090909090906"/>
    <n v="399"/>
    <s v="Large"/>
    <s v="High"/>
  </r>
  <r>
    <s v="ORD-0303"/>
    <s v="2026-01-31"/>
    <s v="Grace Park"/>
    <x v="1"/>
    <s v="Desk Lamp"/>
    <s v="Furniture"/>
    <n v="12"/>
    <n v="39.99"/>
    <n v="479.88"/>
    <n v="5"/>
    <n v="455.88599999999997"/>
    <s v="Completed"/>
    <n v="479.88"/>
    <n v="439.89"/>
    <s v="January"/>
    <n v="-415.89599999999996"/>
    <n v="0.96491228070175439"/>
    <n v="37.990499999999997"/>
    <s v="Large"/>
    <s v="High"/>
  </r>
  <r>
    <s v="ORD-0337"/>
    <s v="2026-02-01"/>
    <s v="Alice Johnson"/>
    <x v="1"/>
    <s v="Cloud Backup (1yr)"/>
    <s v="Software"/>
    <n v="6"/>
    <n v="99"/>
    <n v="594"/>
    <n v="12"/>
    <n v="522.72"/>
    <s v="Completed"/>
    <n v="594"/>
    <n v="495"/>
    <s v="February"/>
    <n v="-423.72"/>
    <n v="0.94696969696969691"/>
    <n v="87.12"/>
    <s v="Small"/>
    <s v="Low"/>
  </r>
  <r>
    <s v="ORD-0106"/>
    <s v="2026-02-03"/>
    <s v="Alice Johnson"/>
    <x v="1"/>
    <s v="Noise Cancelling Headphones"/>
    <s v="Electronics"/>
    <n v="27"/>
    <n v="249"/>
    <n v="6723"/>
    <n v="10"/>
    <n v="6050.7"/>
    <s v="Cancelled"/>
    <n v="6723"/>
    <n v="6474"/>
    <s v="February"/>
    <n v="-5801.7"/>
    <n v="1.0699588477366255"/>
    <n v="224.1"/>
    <s v="Large"/>
    <s v="Low"/>
  </r>
  <r>
    <s v="ORD-0110"/>
    <s v="2026-02-03"/>
    <s v="Eve Torres"/>
    <x v="3"/>
    <s v="Standing Desk"/>
    <s v="Furniture"/>
    <n v="16"/>
    <n v="549"/>
    <n v="8784"/>
    <n v="0"/>
    <n v="8784"/>
    <s v="Completed"/>
    <n v="8784"/>
    <n v="8235"/>
    <s v="February"/>
    <n v="-8235"/>
    <n v="0.9375"/>
    <n v="549"/>
    <s v="Large"/>
    <s v="High"/>
  </r>
  <r>
    <s v="ORD-0483"/>
    <s v="2026-02-03"/>
    <s v="Eve Torres"/>
    <x v="3"/>
    <s v="Webcam 4K"/>
    <s v="Electronics"/>
    <n v="19"/>
    <n v="149.99"/>
    <n v="2849.8100000000004"/>
    <n v="5"/>
    <n v="2707.3195000000001"/>
    <s v="Pending"/>
    <n v="2849.8100000000004"/>
    <n v="2699.8200000000006"/>
    <s v="February"/>
    <n v="-2557.3294999999998"/>
    <n v="0.99722991689750717"/>
    <n v="142.4905"/>
    <s v="Large"/>
    <s v="High"/>
  </r>
  <r>
    <s v="ORD-0490"/>
    <s v="2026-02-03"/>
    <s v="Eve Torres"/>
    <x v="3"/>
    <s v="Webcam HD"/>
    <s v="Electronics"/>
    <n v="13"/>
    <n v="79.989999999999995"/>
    <n v="1039.8699999999999"/>
    <n v="0"/>
    <n v="1039.8699999999999"/>
    <s v="Completed"/>
    <n v="1039.8699999999999"/>
    <n v="959.87999999999988"/>
    <s v="February"/>
    <n v="-959.87999999999988"/>
    <n v="0.92307692307692302"/>
    <n v="79.989999999999995"/>
    <s v="Large"/>
    <s v="High"/>
  </r>
  <r>
    <s v="ORD-0395"/>
    <s v="2026-02-09"/>
    <s v="James Rivera"/>
    <x v="3"/>
    <s v="Project Mgmt License"/>
    <s v="Software"/>
    <n v="18"/>
    <n v="149"/>
    <n v="2682"/>
    <n v="10"/>
    <n v="2413.8000000000002"/>
    <s v="Completed"/>
    <n v="2682"/>
    <n v="2533"/>
    <s v="February"/>
    <n v="-2264.8000000000002"/>
    <n v="1.0493827160493827"/>
    <n v="134.10000000000002"/>
    <s v="Large"/>
    <s v="High"/>
  </r>
  <r>
    <s v="ORD-0267"/>
    <s v="2026-02-10"/>
    <s v="James Rivera"/>
    <x v="3"/>
    <s v="Cable Management Kit"/>
    <s v="Accessories"/>
    <n v="17"/>
    <n v="19.989999999999998"/>
    <n v="339.83"/>
    <n v="0"/>
    <n v="339.83"/>
    <s v="Completed"/>
    <n v="339.83"/>
    <n v="319.83999999999997"/>
    <s v="February"/>
    <n v="-319.83999999999997"/>
    <n v="0.94117647058823528"/>
    <n v="19.989999999999998"/>
    <s v="Large"/>
    <s v="High"/>
  </r>
  <r>
    <s v="ORD-0209"/>
    <s v="2026-02-11"/>
    <s v="Bob Smith"/>
    <x v="3"/>
    <s v="Webcam HD"/>
    <s v="Electronics"/>
    <n v="25"/>
    <n v="79.989999999999995"/>
    <n v="1999.7499999999998"/>
    <n v="5"/>
    <n v="1899.7624999999996"/>
    <s v="Completed"/>
    <n v="1999.7499999999998"/>
    <n v="1919.7599999999998"/>
    <s v="February"/>
    <n v="-1819.7724999999996"/>
    <n v="1.0105263157894737"/>
    <n v="75.990499999999983"/>
    <s v="Large"/>
    <s v="Low"/>
  </r>
  <r>
    <s v="ORD-0482"/>
    <s v="2026-02-12"/>
    <s v="Frank Ng"/>
    <x v="2"/>
    <s v="Laptop Pro 15"/>
    <s v="Electronics"/>
    <n v="7"/>
    <n v="1299"/>
    <n v="9093"/>
    <n v="0"/>
    <n v="9093"/>
    <s v="Completed"/>
    <n v="9093"/>
    <n v="7794"/>
    <s v="February"/>
    <n v="-7794"/>
    <n v="0.8571428571428571"/>
    <n v="1299"/>
    <s v="Small"/>
    <s v="High"/>
  </r>
  <r>
    <s v="ORD-0020"/>
    <s v="2026-02-13"/>
    <s v="Iris Patel"/>
    <x v="1"/>
    <s v="Whiteboard"/>
    <s v="Furniture"/>
    <n v="9"/>
    <n v="129"/>
    <n v="1161"/>
    <n v="10"/>
    <n v="1044.9000000000001"/>
    <s v="Completed"/>
    <n v="1161"/>
    <n v="1032"/>
    <s v="February"/>
    <n v="-915.90000000000009"/>
    <n v="0.98765432098765427"/>
    <n v="116.10000000000001"/>
    <s v="Small"/>
    <s v="High"/>
  </r>
  <r>
    <s v="ORD-0076"/>
    <s v="2026-02-13"/>
    <s v="David Kim"/>
    <x v="2"/>
    <s v="Wireless Mouse"/>
    <s v="Accessories"/>
    <n v="1"/>
    <n v="29.99"/>
    <n v="29.99"/>
    <n v="5"/>
    <n v="28.490499999999997"/>
    <s v="Completed"/>
    <n v="29.99"/>
    <n v="0"/>
    <s v="February"/>
    <n v="1.4995000000000012"/>
    <n v="0"/>
    <n v="28.490499999999997"/>
    <s v="Small"/>
    <s v="High"/>
  </r>
  <r>
    <s v="ORD-0250"/>
    <s v="2026-02-15"/>
    <s v="Frank Ng"/>
    <x v="2"/>
    <s v="Laptop Pro 15"/>
    <s v="Electronics"/>
    <n v="6"/>
    <n v="1299"/>
    <n v="7794"/>
    <n v="0"/>
    <n v="7794"/>
    <s v="Completed"/>
    <n v="7794"/>
    <n v="6495"/>
    <s v="February"/>
    <n v="-6495"/>
    <n v="0.83333333333333337"/>
    <n v="1299"/>
    <s v="Small"/>
    <s v="Low"/>
  </r>
  <r>
    <s v="ORD-0377"/>
    <s v="2026-02-16"/>
    <s v="Carol Lee"/>
    <x v="0"/>
    <s v="Noise Cancelling Headphones"/>
    <s v="Electronics"/>
    <n v="20"/>
    <n v="249"/>
    <n v="4980"/>
    <n v="15"/>
    <n v="4233"/>
    <s v="Completed"/>
    <n v="4980"/>
    <n v="4731"/>
    <s v="February"/>
    <n v="-3984"/>
    <n v="1.1176470588235294"/>
    <n v="211.65"/>
    <s v="Large"/>
    <s v="High"/>
  </r>
  <r>
    <s v="ORD-0440"/>
    <s v="2026-02-16"/>
    <s v="Alice Johnson"/>
    <x v="1"/>
    <s v="Wireless Mouse"/>
    <s v="Accessories"/>
    <n v="24"/>
    <n v="29.99"/>
    <n v="719.76"/>
    <n v="0"/>
    <n v="719.76"/>
    <s v="Completed"/>
    <n v="719.76"/>
    <n v="689.77"/>
    <s v="February"/>
    <n v="-689.77"/>
    <n v="0.95833333333333337"/>
    <n v="29.99"/>
    <s v="Large"/>
    <s v="High"/>
  </r>
  <r>
    <s v="ORD-0159"/>
    <s v="2026-02-17"/>
    <s v="Bob Smith"/>
    <x v="3"/>
    <s v="Ergonomic Chair"/>
    <s v="Furniture"/>
    <n v="23"/>
    <n v="299"/>
    <n v="6877"/>
    <n v="5"/>
    <n v="6533.15"/>
    <s v="Completed"/>
    <n v="6877"/>
    <n v="6578"/>
    <s v="February"/>
    <n v="-6234.15"/>
    <n v="1.0068649885583525"/>
    <n v="284.05"/>
    <s v="Large"/>
    <s v="Low"/>
  </r>
  <r>
    <s v="ORD-0053"/>
    <s v="2026-02-18"/>
    <s v="James Rivera"/>
    <x v="3"/>
    <s v="Monitor 27&quot;"/>
    <s v="Electronics"/>
    <n v="22"/>
    <n v="399"/>
    <n v="8778"/>
    <n v="5"/>
    <n v="8339.1"/>
    <s v="Completed"/>
    <n v="8778"/>
    <n v="8379"/>
    <s v="February"/>
    <n v="-7940.1"/>
    <n v="1.0047846889952152"/>
    <n v="379.05"/>
    <s v="Large"/>
    <s v="High"/>
  </r>
  <r>
    <s v="ORD-0168"/>
    <s v="2026-02-18"/>
    <s v="Frank Ng"/>
    <x v="2"/>
    <s v="Mechanical Keyboard"/>
    <s v="Accessories"/>
    <n v="11"/>
    <n v="89.99"/>
    <n v="989.89"/>
    <n v="0"/>
    <n v="989.89"/>
    <s v="Completed"/>
    <n v="989.89"/>
    <n v="899.9"/>
    <s v="February"/>
    <n v="-899.9"/>
    <n v="0.90909090909090906"/>
    <n v="89.99"/>
    <s v="Large"/>
    <s v="High"/>
  </r>
  <r>
    <s v="ORD-0071"/>
    <s v="2026-02-21"/>
    <s v="David Kim"/>
    <x v="2"/>
    <s v="Project Mgmt License"/>
    <s v="Software"/>
    <n v="4"/>
    <n v="149"/>
    <n v="596"/>
    <n v="8"/>
    <n v="548.32000000000005"/>
    <s v="Completed"/>
    <n v="596"/>
    <n v="447"/>
    <s v="February"/>
    <n v="-399.32000000000005"/>
    <n v="0.81521739130434778"/>
    <n v="137.08000000000001"/>
    <s v="Small"/>
    <s v="Low"/>
  </r>
  <r>
    <s v="ORD-0402"/>
    <s v="2026-02-21"/>
    <s v="Carol Lee"/>
    <x v="0"/>
    <s v="Laptop Pro 15"/>
    <s v="Electronics"/>
    <n v="18"/>
    <n v="1299"/>
    <n v="23382"/>
    <n v="0"/>
    <n v="23382"/>
    <s v="Pending"/>
    <n v="23382"/>
    <n v="22083"/>
    <s v="February"/>
    <n v="-22083"/>
    <n v="0.94444444444444442"/>
    <n v="1299"/>
    <s v="Large"/>
    <s v="Low"/>
  </r>
  <r>
    <s v="ORD-0446"/>
    <s v="2026-02-23"/>
    <s v="Grace Park"/>
    <x v="1"/>
    <s v="Desk Lamp"/>
    <s v="Furniture"/>
    <n v="11"/>
    <n v="39.99"/>
    <n v="439.89000000000004"/>
    <n v="10"/>
    <n v="395.90100000000007"/>
    <s v="Completed"/>
    <n v="439.89000000000004"/>
    <n v="399.90000000000003"/>
    <s v="February"/>
    <n v="-355.91100000000006"/>
    <n v="1.0101010101010099"/>
    <n v="35.991000000000007"/>
    <s v="Large"/>
    <s v="High"/>
  </r>
  <r>
    <s v="ORD-0186"/>
    <s v="2026-02-24"/>
    <s v="Henry Wu"/>
    <x v="0"/>
    <s v="Laptop Pro 15"/>
    <s v="Electronics"/>
    <n v="24"/>
    <n v="1299"/>
    <n v="31176"/>
    <n v="0"/>
    <n v="31176"/>
    <s v="Pending"/>
    <n v="31176"/>
    <n v="29877"/>
    <s v="February"/>
    <n v="-29877"/>
    <n v="0.95833333333333337"/>
    <n v="1299"/>
    <s v="Large"/>
    <s v="Low"/>
  </r>
  <r>
    <s v="ORD-0346"/>
    <s v="2026-02-25"/>
    <s v="Grace Park"/>
    <x v="1"/>
    <s v="Design Suite License"/>
    <s v="Software"/>
    <n v="24"/>
    <n v="299"/>
    <n v="7176"/>
    <n v="12"/>
    <n v="6314.88"/>
    <s v="Cancelled"/>
    <n v="7176"/>
    <n v="6877"/>
    <s v="February"/>
    <n v="-6015.88"/>
    <n v="1.0890151515151516"/>
    <n v="263.12"/>
    <s v="Large"/>
    <s v="High"/>
  </r>
  <r>
    <s v="ORD-0073"/>
    <s v="2026-02-26"/>
    <s v="Alice Johnson"/>
    <x v="1"/>
    <s v="Webcam 4K"/>
    <s v="Electronics"/>
    <n v="24"/>
    <n v="149.99"/>
    <n v="3599.76"/>
    <n v="8"/>
    <n v="3311.7792000000004"/>
    <s v="Pending"/>
    <n v="3599.76"/>
    <n v="3449.7700000000004"/>
    <s v="February"/>
    <n v="-3161.7892000000002"/>
    <n v="1.0416666666666667"/>
    <n v="137.99080000000001"/>
    <s v="Large"/>
    <s v="High"/>
  </r>
  <r>
    <s v="ORD-0470"/>
    <s v="2026-02-26"/>
    <s v="Henry Wu"/>
    <x v="0"/>
    <s v="Laptop Pro 15"/>
    <s v="Electronics"/>
    <n v="1"/>
    <n v="1299"/>
    <n v="1299"/>
    <n v="15"/>
    <n v="1104.1499999999999"/>
    <s v="Completed"/>
    <n v="1299"/>
    <n v="0"/>
    <s v="February"/>
    <n v="194.85000000000014"/>
    <n v="0"/>
    <n v="1104.1499999999999"/>
    <s v="Small"/>
    <s v="High"/>
  </r>
  <r>
    <s v="ORD-0387"/>
    <s v="2026-02-27"/>
    <s v="Henry Wu"/>
    <x v="0"/>
    <s v="Laptop Stand"/>
    <s v="Accessories"/>
    <n v="14"/>
    <n v="59.99"/>
    <n v="839.86"/>
    <n v="0"/>
    <n v="839.86"/>
    <s v="Pending"/>
    <n v="839.86"/>
    <n v="779.87"/>
    <s v="February"/>
    <n v="-779.87"/>
    <n v="0.9285714285714286"/>
    <n v="59.99"/>
    <s v="Large"/>
    <s v="High"/>
  </r>
  <r>
    <s v="ORD-0093"/>
    <s v="2026-03-01"/>
    <s v="James Rivera"/>
    <x v="3"/>
    <s v="VPN License (1yr)"/>
    <s v="Software"/>
    <n v="3"/>
    <n v="49.99"/>
    <n v="149.97"/>
    <n v="12"/>
    <n v="131.9736"/>
    <s v="Pending"/>
    <n v="149.97"/>
    <n v="99.97999999999999"/>
    <s v="March"/>
    <n v="-81.983599999999996"/>
    <n v="0.75757575757575746"/>
    <n v="43.991199999999999"/>
    <s v="Small"/>
    <s v="Low"/>
  </r>
  <r>
    <s v="ORD-0302"/>
    <s v="2026-03-01"/>
    <s v="Henry Wu"/>
    <x v="0"/>
    <s v="Monitor Arm"/>
    <s v="Accessories"/>
    <n v="30"/>
    <n v="79.989999999999995"/>
    <n v="2399.6999999999998"/>
    <n v="0"/>
    <n v="2399.6999999999998"/>
    <s v="Completed"/>
    <n v="2399.6999999999998"/>
    <n v="2319.71"/>
    <s v="March"/>
    <n v="-2319.71"/>
    <n v="0.96666666666666679"/>
    <n v="79.989999999999995"/>
    <s v="Large"/>
    <s v="Low"/>
  </r>
  <r>
    <s v="ORD-0176"/>
    <s v="2026-03-02"/>
    <s v="Eve Torres"/>
    <x v="3"/>
    <s v="Desk Lamp"/>
    <s v="Furniture"/>
    <n v="23"/>
    <n v="39.99"/>
    <n v="919.7700000000001"/>
    <n v="5"/>
    <n v="873.78150000000005"/>
    <s v="Completed"/>
    <n v="919.7700000000001"/>
    <n v="879.78000000000009"/>
    <s v="March"/>
    <n v="-833.79150000000004"/>
    <n v="1.0068649885583525"/>
    <n v="37.990500000000004"/>
    <s v="Large"/>
    <s v="High"/>
  </r>
  <r>
    <s v="ORD-0461"/>
    <s v="2026-03-04"/>
    <s v="Carol Lee"/>
    <x v="0"/>
    <s v="Laptop Pro 15"/>
    <s v="Electronics"/>
    <n v="9"/>
    <n v="1299"/>
    <n v="11691"/>
    <n v="15"/>
    <n v="9937.35"/>
    <s v="Completed"/>
    <n v="11691"/>
    <n v="10392"/>
    <s v="March"/>
    <n v="-8638.35"/>
    <n v="1.0457516339869282"/>
    <n v="1104.1500000000001"/>
    <s v="Small"/>
    <s v="Low"/>
  </r>
  <r>
    <s v="ORD-0108"/>
    <s v="2026-03-06"/>
    <s v="Frank Ng"/>
    <x v="2"/>
    <s v="USB-C Hub"/>
    <s v="Accessories"/>
    <n v="25"/>
    <n v="49.99"/>
    <n v="1249.75"/>
    <n v="10"/>
    <n v="1124.7750000000001"/>
    <s v="Completed"/>
    <n v="1249.75"/>
    <n v="1199.76"/>
    <s v="March"/>
    <n v="-1074.7850000000001"/>
    <n v="1.0666666666666667"/>
    <n v="44.991000000000007"/>
    <s v="Large"/>
    <s v="High"/>
  </r>
  <r>
    <s v="ORD-0217"/>
    <s v="2026-03-06"/>
    <s v="Henry Wu"/>
    <x v="0"/>
    <s v="Monitor Arm"/>
    <s v="Accessories"/>
    <n v="22"/>
    <n v="79.989999999999995"/>
    <n v="1759.78"/>
    <n v="15"/>
    <n v="1495.8129999999999"/>
    <s v="Completed"/>
    <n v="1759.78"/>
    <n v="1679.79"/>
    <s v="March"/>
    <n v="-1415.8229999999999"/>
    <n v="1.1229946524064172"/>
    <n v="67.991499999999988"/>
    <s v="Large"/>
    <s v="High"/>
  </r>
  <r>
    <s v="ORD-0431"/>
    <s v="2026-03-07"/>
    <s v="Eve Torres"/>
    <x v="3"/>
    <s v="Standing Desk"/>
    <s v="Furniture"/>
    <n v="6"/>
    <n v="549"/>
    <n v="3294"/>
    <n v="0"/>
    <n v="3294"/>
    <s v="Completed"/>
    <n v="3294"/>
    <n v="2745"/>
    <s v="March"/>
    <n v="-2745"/>
    <n v="0.83333333333333337"/>
    <n v="549"/>
    <s v="Small"/>
    <s v="High"/>
  </r>
  <r>
    <s v="ORD-0022"/>
    <s v="2026-03-09"/>
    <s v="Alice Johnson"/>
    <x v="1"/>
    <s v="Monitor 32&quot;"/>
    <s v="Electronics"/>
    <n v="5"/>
    <n v="599"/>
    <n v="2995"/>
    <n v="0"/>
    <n v="2995"/>
    <s v="Completed"/>
    <n v="2995"/>
    <n v="2396"/>
    <s v="March"/>
    <n v="-2396"/>
    <n v="0.8"/>
    <n v="599"/>
    <s v="Small"/>
    <s v="High"/>
  </r>
  <r>
    <s v="ORD-0044"/>
    <s v="2026-03-09"/>
    <s v="David Kim"/>
    <x v="2"/>
    <s v="Whiteboard"/>
    <s v="Furniture"/>
    <n v="15"/>
    <n v="129"/>
    <n v="1935"/>
    <n v="0"/>
    <n v="1935"/>
    <s v="Completed"/>
    <n v="1935"/>
    <n v="1806"/>
    <s v="March"/>
    <n v="-1806"/>
    <n v="0.93333333333333335"/>
    <n v="129"/>
    <s v="Large"/>
    <s v="High"/>
  </r>
  <r>
    <s v="ORD-0033"/>
    <s v="2026-03-10"/>
    <s v="Henry Wu"/>
    <x v="0"/>
    <s v="Whiteboard"/>
    <s v="Furniture"/>
    <n v="6"/>
    <n v="129"/>
    <n v="774"/>
    <n v="5"/>
    <n v="735.3"/>
    <s v="Completed"/>
    <n v="774"/>
    <n v="645"/>
    <s v="March"/>
    <n v="-606.29999999999995"/>
    <n v="0.87719298245614041"/>
    <n v="122.55"/>
    <s v="Small"/>
    <s v="High"/>
  </r>
  <r>
    <s v="ORD-0308"/>
    <s v="2026-03-10"/>
    <s v="Iris Patel"/>
    <x v="1"/>
    <s v="Cloud Backup (1yr)"/>
    <s v="Software"/>
    <n v="20"/>
    <n v="99"/>
    <n v="1980"/>
    <n v="15"/>
    <n v="1683"/>
    <s v="Completed"/>
    <n v="1980"/>
    <n v="1881"/>
    <s v="March"/>
    <n v="-1584"/>
    <n v="1.1176470588235294"/>
    <n v="84.15"/>
    <s v="Large"/>
    <s v="Low"/>
  </r>
  <r>
    <s v="ORD-0429"/>
    <s v="2026-03-10"/>
    <s v="David Kim"/>
    <x v="2"/>
    <s v="Bookshelf"/>
    <s v="Furniture"/>
    <n v="3"/>
    <n v="199"/>
    <n v="597"/>
    <n v="0"/>
    <n v="597"/>
    <s v="Completed"/>
    <n v="597"/>
    <n v="398"/>
    <s v="March"/>
    <n v="-398"/>
    <n v="0.66666666666666663"/>
    <n v="199"/>
    <s v="Small"/>
    <s v="High"/>
  </r>
  <r>
    <s v="ORD-0435"/>
    <s v="2026-03-11"/>
    <s v="Alice Johnson"/>
    <x v="1"/>
    <s v="USB-C Hub"/>
    <s v="Accessories"/>
    <n v="15"/>
    <n v="49.99"/>
    <n v="749.85"/>
    <n v="15"/>
    <n v="637.37250000000006"/>
    <s v="Completed"/>
    <n v="749.85"/>
    <n v="699.86"/>
    <s v="March"/>
    <n v="-587.38250000000005"/>
    <n v="1.0980392156862744"/>
    <n v="42.491500000000002"/>
    <s v="Large"/>
    <s v="Low"/>
  </r>
  <r>
    <s v="ORD-0156"/>
    <s v="2026-03-12"/>
    <s v="David Kim"/>
    <x v="2"/>
    <s v="Mechanical Keyboard"/>
    <s v="Accessories"/>
    <n v="26"/>
    <n v="89.99"/>
    <n v="2339.7399999999998"/>
    <n v="5"/>
    <n v="2222.7529999999997"/>
    <s v="Completed"/>
    <n v="2339.7399999999998"/>
    <n v="2249.75"/>
    <s v="March"/>
    <n v="-2132.7629999999999"/>
    <n v="1.0121457489878545"/>
    <n v="85.490499999999983"/>
    <s v="Large"/>
    <s v="Low"/>
  </r>
  <r>
    <s v="ORD-0099"/>
    <s v="2026-03-13"/>
    <s v="Henry Wu"/>
    <x v="0"/>
    <s v="Filing Cabinet"/>
    <s v="Furniture"/>
    <n v="27"/>
    <n v="169"/>
    <n v="4563"/>
    <n v="15"/>
    <n v="3878.5499999999997"/>
    <s v="Completed"/>
    <n v="4563"/>
    <n v="4394"/>
    <s v="March"/>
    <n v="-3709.5499999999997"/>
    <n v="1.1328976034858389"/>
    <n v="143.64999999999998"/>
    <s v="Large"/>
    <s v="High"/>
  </r>
  <r>
    <s v="ORD-0233"/>
    <s v="2026-03-13"/>
    <s v="Alice Johnson"/>
    <x v="1"/>
    <s v="Laptop Pro 13"/>
    <s v="Electronics"/>
    <n v="16"/>
    <n v="999"/>
    <n v="15984"/>
    <n v="10"/>
    <n v="14385.6"/>
    <s v="Pending"/>
    <n v="15984"/>
    <n v="14985"/>
    <s v="March"/>
    <n v="-13386.6"/>
    <n v="1.0416666666666667"/>
    <n v="899.1"/>
    <s v="Large"/>
    <s v="High"/>
  </r>
  <r>
    <s v="ORD-0240"/>
    <s v="2026-03-14"/>
    <s v="Grace Park"/>
    <x v="1"/>
    <s v="Cloud Backup (1yr)"/>
    <s v="Software"/>
    <n v="4"/>
    <n v="99"/>
    <n v="396"/>
    <n v="8"/>
    <n v="364.32"/>
    <s v="Completed"/>
    <n v="396"/>
    <n v="297"/>
    <s v="March"/>
    <n v="-265.32"/>
    <n v="0.81521739130434789"/>
    <n v="91.08"/>
    <s v="Small"/>
    <s v="High"/>
  </r>
  <r>
    <s v="ORD-0263"/>
    <s v="2026-03-16"/>
    <s v="Henry Wu"/>
    <x v="0"/>
    <s v="Monitor 27&quot;"/>
    <s v="Electronics"/>
    <n v="28"/>
    <n v="399"/>
    <n v="11172"/>
    <n v="8"/>
    <n v="10278.24"/>
    <s v="Completed"/>
    <n v="11172"/>
    <n v="10773"/>
    <s v="March"/>
    <n v="-9879.24"/>
    <n v="1.048136645962733"/>
    <n v="367.08"/>
    <s v="Large"/>
    <s v="Low"/>
  </r>
  <r>
    <s v="ORD-0312"/>
    <s v="2026-03-16"/>
    <s v="David Kim"/>
    <x v="2"/>
    <s v="Design Suite License"/>
    <s v="Software"/>
    <n v="5"/>
    <n v="299"/>
    <n v="1495"/>
    <n v="5"/>
    <n v="1420.25"/>
    <s v="Completed"/>
    <n v="1495"/>
    <n v="1196"/>
    <s v="March"/>
    <n v="-1121.25"/>
    <n v="0.84210526315789469"/>
    <n v="284.05"/>
    <s v="Small"/>
    <s v="High"/>
  </r>
  <r>
    <s v="ORD-0260"/>
    <s v="2026-03-17"/>
    <s v="Frank Ng"/>
    <x v="2"/>
    <s v="Monitor 32&quot;"/>
    <s v="Electronics"/>
    <n v="1"/>
    <n v="599"/>
    <n v="599"/>
    <n v="12"/>
    <n v="527.12"/>
    <s v="Completed"/>
    <n v="599"/>
    <n v="0"/>
    <s v="March"/>
    <n v="71.88"/>
    <n v="0"/>
    <n v="527.12"/>
    <s v="Small"/>
    <s v="High"/>
  </r>
  <r>
    <s v="ORD-0041"/>
    <s v="2026-03-18"/>
    <s v="Grace Park"/>
    <x v="1"/>
    <s v="Noise Cancelling Headphones"/>
    <s v="Electronics"/>
    <n v="4"/>
    <n v="249"/>
    <n v="996"/>
    <n v="0"/>
    <n v="996"/>
    <s v="Completed"/>
    <n v="996"/>
    <n v="747"/>
    <s v="March"/>
    <n v="-747"/>
    <n v="0.75"/>
    <n v="249"/>
    <s v="Small"/>
    <s v="Low"/>
  </r>
  <r>
    <s v="ORD-0190"/>
    <s v="2026-03-21"/>
    <s v="Eve Torres"/>
    <x v="3"/>
    <s v="Wireless Mouse"/>
    <s v="Accessories"/>
    <n v="24"/>
    <n v="29.99"/>
    <n v="719.76"/>
    <n v="0"/>
    <n v="719.76"/>
    <s v="Completed"/>
    <n v="719.76"/>
    <n v="689.77"/>
    <s v="March"/>
    <n v="-689.77"/>
    <n v="0.95833333333333337"/>
    <n v="29.99"/>
    <s v="Large"/>
    <s v="Low"/>
  </r>
  <r>
    <s v="ORD-0330"/>
    <s v="2026-03-22"/>
    <s v="Henry Wu"/>
    <x v="0"/>
    <s v="Laptop Pro 13"/>
    <s v="Electronics"/>
    <n v="24"/>
    <n v="999"/>
    <n v="23976"/>
    <n v="8"/>
    <n v="22057.920000000002"/>
    <s v="Completed"/>
    <n v="23976"/>
    <n v="22977"/>
    <s v="March"/>
    <n v="-21058.920000000002"/>
    <n v="1.0416666666666665"/>
    <n v="919.08"/>
    <s v="Large"/>
    <s v="Low"/>
  </r>
  <r>
    <s v="ORD-0080"/>
    <s v="2026-03-23"/>
    <s v="James Rivera"/>
    <x v="3"/>
    <s v="Standing Desk"/>
    <s v="Furniture"/>
    <n v="12"/>
    <n v="549"/>
    <n v="6588"/>
    <n v="8"/>
    <n v="6060.96"/>
    <s v="Completed"/>
    <n v="6588"/>
    <n v="6039"/>
    <s v="March"/>
    <n v="-5511.96"/>
    <n v="0.99637681159420288"/>
    <n v="505.08"/>
    <s v="Large"/>
    <s v="High"/>
  </r>
  <r>
    <s v="ORD-0262"/>
    <s v="2026-03-23"/>
    <s v="Frank Ng"/>
    <x v="2"/>
    <s v="Monitor 27&quot;"/>
    <s v="Electronics"/>
    <n v="13"/>
    <n v="399"/>
    <n v="5187"/>
    <n v="0"/>
    <n v="5187"/>
    <s v="Completed"/>
    <n v="5187"/>
    <n v="4788"/>
    <s v="March"/>
    <n v="-4788"/>
    <n v="0.92307692307692313"/>
    <n v="399"/>
    <s v="Large"/>
    <s v="High"/>
  </r>
  <r>
    <s v="ORD-0293"/>
    <s v="2026-03-25"/>
    <s v="Carol Lee"/>
    <x v="0"/>
    <s v="Webcam 4K"/>
    <s v="Electronics"/>
    <n v="27"/>
    <n v="149.99"/>
    <n v="4049.7300000000005"/>
    <n v="0"/>
    <n v="4049.7300000000005"/>
    <s v="Completed"/>
    <n v="4049.7300000000005"/>
    <n v="3899.7400000000007"/>
    <s v="March"/>
    <n v="-3899.7400000000007"/>
    <n v="0.96296296296296302"/>
    <n v="149.99"/>
    <s v="Large"/>
    <s v="High"/>
  </r>
  <r>
    <s v="ORD-0280"/>
    <s v="2026-03-26"/>
    <s v="Carol Lee"/>
    <x v="0"/>
    <s v="Laptop Pro 13"/>
    <s v="Electronics"/>
    <n v="8"/>
    <n v="999"/>
    <n v="7992"/>
    <n v="12"/>
    <n v="7032.96"/>
    <s v="Completed"/>
    <n v="7992"/>
    <n v="6993"/>
    <s v="March"/>
    <n v="-6033.96"/>
    <n v="0.99431818181818177"/>
    <n v="879.12"/>
    <s v="Small"/>
    <s v="High"/>
  </r>
  <r>
    <s v="ORD-0324"/>
    <s v="2026-03-27"/>
    <s v="Frank Ng"/>
    <x v="2"/>
    <s v="Standing Desk"/>
    <s v="Furniture"/>
    <n v="29"/>
    <n v="549"/>
    <n v="15921"/>
    <n v="10"/>
    <n v="14328.9"/>
    <s v="Completed"/>
    <n v="15921"/>
    <n v="15372"/>
    <s v="March"/>
    <n v="-13779.9"/>
    <n v="1.0727969348659003"/>
    <n v="494.09999999999997"/>
    <s v="Large"/>
    <s v="High"/>
  </r>
  <r>
    <s v="ORD-0255"/>
    <s v="2026-03-29"/>
    <s v="Henry Wu"/>
    <x v="0"/>
    <s v="Project Mgmt License"/>
    <s v="Software"/>
    <n v="14"/>
    <n v="149"/>
    <n v="2086"/>
    <n v="12"/>
    <n v="1835.68"/>
    <s v="Completed"/>
    <n v="2086"/>
    <n v="1937"/>
    <s v="March"/>
    <n v="-1686.68"/>
    <n v="1.0551948051948052"/>
    <n v="131.12"/>
    <s v="Large"/>
    <s v="High"/>
  </r>
  <r>
    <s v="ORD-0045"/>
    <s v="2026-03-30"/>
    <s v="Eve Torres"/>
    <x v="3"/>
    <s v="Ergonomic Chair"/>
    <s v="Furniture"/>
    <n v="8"/>
    <n v="299"/>
    <n v="2392"/>
    <n v="0"/>
    <n v="2392"/>
    <s v="Completed"/>
    <n v="2392"/>
    <n v="2093"/>
    <s v="March"/>
    <n v="-2093"/>
    <n v="0.875"/>
    <n v="299"/>
    <s v="Small"/>
    <s v="High"/>
  </r>
  <r>
    <s v="ORD-0294"/>
    <s v="2026-03-31"/>
    <s v="Grace Park"/>
    <x v="1"/>
    <s v="Monitor Arm"/>
    <s v="Accessories"/>
    <n v="22"/>
    <n v="79.989999999999995"/>
    <n v="1759.78"/>
    <n v="5"/>
    <n v="1671.7909999999999"/>
    <s v="Completed"/>
    <n v="1759.78"/>
    <n v="1679.79"/>
    <s v="March"/>
    <n v="-1591.8009999999999"/>
    <n v="1.0047846889952152"/>
    <n v="75.990499999999997"/>
    <s v="Large"/>
    <s v="High"/>
  </r>
  <r>
    <s v="ORD-0329"/>
    <s v="2026-03-31"/>
    <s v="James Rivera"/>
    <x v="3"/>
    <s v="Design Suite License"/>
    <s v="Software"/>
    <n v="14"/>
    <n v="299"/>
    <n v="4186"/>
    <n v="0"/>
    <n v="4186"/>
    <s v="Completed"/>
    <n v="4186"/>
    <n v="3887"/>
    <s v="March"/>
    <n v="-3887"/>
    <n v="0.9285714285714286"/>
    <n v="299"/>
    <s v="Large"/>
    <s v="High"/>
  </r>
  <r>
    <s v="ORD-0340"/>
    <s v="2026-04-01"/>
    <s v="Carol Lee"/>
    <x v="0"/>
    <s v="Monitor 27&quot;"/>
    <s v="Electronics"/>
    <n v="15"/>
    <n v="399"/>
    <n v="5985"/>
    <n v="0"/>
    <n v="5985"/>
    <s v="Completed"/>
    <n v="5985"/>
    <n v="5586"/>
    <s v="April"/>
    <n v="-5586"/>
    <n v="0.93333333333333335"/>
    <n v="399"/>
    <s v="Large"/>
    <s v="High"/>
  </r>
  <r>
    <s v="ORD-0338"/>
    <s v="2026-04-02"/>
    <s v="Bob Smith"/>
    <x v="3"/>
    <s v="Mechanical Keyboard"/>
    <s v="Accessories"/>
    <n v="25"/>
    <n v="89.99"/>
    <n v="2249.75"/>
    <n v="5"/>
    <n v="2137.2624999999998"/>
    <s v="Completed"/>
    <n v="2249.75"/>
    <n v="2159.7600000000002"/>
    <s v="April"/>
    <n v="-2047.2724999999998"/>
    <n v="1.0105263157894739"/>
    <n v="85.490499999999997"/>
    <s v="Large"/>
    <s v="High"/>
  </r>
  <r>
    <s v="ORD-0414"/>
    <s v="2026-04-03"/>
    <s v="Alice Johnson"/>
    <x v="1"/>
    <s v="Mechanical Keyboard"/>
    <s v="Accessories"/>
    <n v="13"/>
    <n v="89.99"/>
    <n v="1169.8699999999999"/>
    <n v="5"/>
    <n v="1111.3764999999999"/>
    <s v="Cancelled"/>
    <n v="1169.8699999999999"/>
    <n v="1079.8799999999999"/>
    <s v="April"/>
    <n v="-1021.3864999999998"/>
    <n v="0.97165991902834015"/>
    <n v="85.490499999999983"/>
    <s v="Large"/>
    <s v="High"/>
  </r>
  <r>
    <s v="ORD-0439"/>
    <s v="2026-04-03"/>
    <s v="Bob Smith"/>
    <x v="3"/>
    <s v="Monitor 32&quot;"/>
    <s v="Electronics"/>
    <n v="20"/>
    <n v="599"/>
    <n v="11980"/>
    <n v="0"/>
    <n v="11980"/>
    <s v="Completed"/>
    <n v="11980"/>
    <n v="11381"/>
    <s v="April"/>
    <n v="-11381"/>
    <n v="0.95"/>
    <n v="599"/>
    <s v="Large"/>
    <s v="High"/>
  </r>
  <r>
    <s v="ORD-0135"/>
    <s v="2026-04-04"/>
    <s v="David Kim"/>
    <x v="2"/>
    <s v="Design Suite License"/>
    <s v="Software"/>
    <n v="16"/>
    <n v="299"/>
    <n v="4784"/>
    <n v="12"/>
    <n v="4209.92"/>
    <s v="Completed"/>
    <n v="4784"/>
    <n v="4485"/>
    <s v="April"/>
    <n v="-3910.92"/>
    <n v="1.0653409090909092"/>
    <n v="263.12"/>
    <s v="Large"/>
    <s v="High"/>
  </r>
  <r>
    <s v="ORD-0306"/>
    <s v="2026-04-05"/>
    <s v="Carol Lee"/>
    <x v="0"/>
    <s v="VPN License (1yr)"/>
    <s v="Software"/>
    <n v="23"/>
    <n v="49.99"/>
    <n v="1149.77"/>
    <n v="12"/>
    <n v="1011.7976"/>
    <s v="Completed"/>
    <n v="1149.77"/>
    <n v="1099.78"/>
    <s v="April"/>
    <n v="-961.80759999999998"/>
    <n v="1.0869565217391304"/>
    <n v="43.991199999999999"/>
    <s v="Large"/>
    <s v="High"/>
  </r>
  <r>
    <s v="ORD-0100"/>
    <s v="2026-04-06"/>
    <s v="Henry Wu"/>
    <x v="0"/>
    <s v="Webcam 4K"/>
    <s v="Electronics"/>
    <n v="24"/>
    <n v="149.99"/>
    <n v="3599.76"/>
    <n v="12"/>
    <n v="3167.7888000000003"/>
    <s v="Completed"/>
    <n v="3599.76"/>
    <n v="3449.7700000000004"/>
    <s v="April"/>
    <n v="-3017.7988000000005"/>
    <n v="1.0890151515151516"/>
    <n v="131.99120000000002"/>
    <s v="Large"/>
    <s v="High"/>
  </r>
  <r>
    <s v="ORD-0277"/>
    <s v="2026-04-06"/>
    <s v="Henry Wu"/>
    <x v="0"/>
    <s v="Bookshelf"/>
    <s v="Furniture"/>
    <n v="18"/>
    <n v="199"/>
    <n v="3582"/>
    <n v="0"/>
    <n v="3582"/>
    <s v="Completed"/>
    <n v="3582"/>
    <n v="3383"/>
    <s v="April"/>
    <n v="-3383"/>
    <n v="0.94444444444444442"/>
    <n v="199"/>
    <s v="Large"/>
    <s v="High"/>
  </r>
  <r>
    <s v="ORD-0334"/>
    <s v="2026-04-06"/>
    <s v="James Rivera"/>
    <x v="3"/>
    <s v="Laptop Pro 13"/>
    <s v="Electronics"/>
    <n v="20"/>
    <n v="999"/>
    <n v="19980"/>
    <n v="0"/>
    <n v="19980"/>
    <s v="Completed"/>
    <n v="19980"/>
    <n v="18981"/>
    <s v="April"/>
    <n v="-18981"/>
    <n v="0.95"/>
    <n v="999"/>
    <s v="Large"/>
    <s v="High"/>
  </r>
  <r>
    <s v="ORD-0363"/>
    <s v="2026-04-06"/>
    <s v="David Kim"/>
    <x v="2"/>
    <s v="Ergonomic Chair"/>
    <s v="Furniture"/>
    <n v="4"/>
    <n v="299"/>
    <n v="1196"/>
    <n v="5"/>
    <n v="1136.2"/>
    <s v="Completed"/>
    <n v="1196"/>
    <n v="897"/>
    <s v="April"/>
    <n v="-837.2"/>
    <n v="0.78947368421052633"/>
    <n v="284.05"/>
    <s v="Small"/>
    <s v="High"/>
  </r>
  <r>
    <s v="ORD-0374"/>
    <s v="2026-04-07"/>
    <s v="Eve Torres"/>
    <x v="3"/>
    <s v="Monitor 27&quot;"/>
    <s v="Electronics"/>
    <n v="13"/>
    <n v="399"/>
    <n v="5187"/>
    <n v="15"/>
    <n v="4408.95"/>
    <s v="Cancelled"/>
    <n v="5187"/>
    <n v="4788"/>
    <s v="April"/>
    <n v="-4009.95"/>
    <n v="1.0859728506787332"/>
    <n v="339.15"/>
    <s v="Large"/>
    <s v="High"/>
  </r>
  <r>
    <s v="ORD-0035"/>
    <s v="2026-04-08"/>
    <s v="Frank Ng"/>
    <x v="2"/>
    <s v="Ergonomic Chair"/>
    <s v="Furniture"/>
    <n v="29"/>
    <n v="299"/>
    <n v="8671"/>
    <n v="15"/>
    <n v="7370.3499999999995"/>
    <s v="Completed"/>
    <n v="8671"/>
    <n v="8372"/>
    <s v="April"/>
    <n v="-7071.3499999999995"/>
    <n v="1.1359026369168357"/>
    <n v="254.14999999999998"/>
    <s v="Large"/>
    <s v="High"/>
  </r>
  <r>
    <s v="ORD-0231"/>
    <s v="2026-04-08"/>
    <s v="Frank Ng"/>
    <x v="2"/>
    <s v="Desk Lamp"/>
    <s v="Furniture"/>
    <n v="19"/>
    <n v="39.99"/>
    <n v="759.81000000000006"/>
    <n v="0"/>
    <n v="759.81000000000006"/>
    <s v="Completed"/>
    <n v="759.81000000000006"/>
    <n v="719.82"/>
    <s v="April"/>
    <n v="-719.82"/>
    <n v="0.94736842105263153"/>
    <n v="39.99"/>
    <s v="Large"/>
    <s v="High"/>
  </r>
  <r>
    <s v="ORD-0012"/>
    <s v="2026-04-10"/>
    <s v="David Kim"/>
    <x v="2"/>
    <s v="Monitor 32&quot;"/>
    <s v="Electronics"/>
    <n v="13"/>
    <n v="599"/>
    <n v="7787"/>
    <n v="5"/>
    <n v="7397.65"/>
    <s v="Pending"/>
    <n v="7787"/>
    <n v="7188"/>
    <s v="April"/>
    <n v="-6798.65"/>
    <n v="0.97165991902834015"/>
    <n v="569.04999999999995"/>
    <s v="Large"/>
    <s v="Low"/>
  </r>
  <r>
    <s v="ORD-0155"/>
    <s v="2026-04-10"/>
    <s v="David Kim"/>
    <x v="2"/>
    <s v="USB-C Hub"/>
    <s v="Accessories"/>
    <n v="23"/>
    <n v="49.99"/>
    <n v="1149.77"/>
    <n v="5"/>
    <n v="1092.2814999999998"/>
    <s v="Completed"/>
    <n v="1149.77"/>
    <n v="1099.78"/>
    <s v="April"/>
    <n v="-1042.2914999999998"/>
    <n v="1.0068649885583525"/>
    <n v="47.49049999999999"/>
    <s v="Large"/>
    <s v="High"/>
  </r>
  <r>
    <s v="ORD-0239"/>
    <s v="2026-04-10"/>
    <s v="Henry Wu"/>
    <x v="0"/>
    <s v="Wireless Mouse"/>
    <s v="Accessories"/>
    <n v="14"/>
    <n v="29.99"/>
    <n v="419.85999999999996"/>
    <n v="8"/>
    <n v="386.27119999999996"/>
    <s v="Completed"/>
    <n v="419.85999999999996"/>
    <n v="389.86999999999995"/>
    <s v="April"/>
    <n v="-356.28119999999996"/>
    <n v="1.0093167701863353"/>
    <n v="27.590799999999998"/>
    <s v="Large"/>
    <s v="High"/>
  </r>
  <r>
    <s v="ORD-0252"/>
    <s v="2026-04-10"/>
    <s v="Iris Patel"/>
    <x v="1"/>
    <s v="Noise Cancelling Headphones"/>
    <s v="Electronics"/>
    <n v="13"/>
    <n v="249"/>
    <n v="3237"/>
    <n v="10"/>
    <n v="2913.3"/>
    <s v="Completed"/>
    <n v="3237"/>
    <n v="2988"/>
    <s v="April"/>
    <n v="-2664.3"/>
    <n v="1.0256410256410255"/>
    <n v="224.10000000000002"/>
    <s v="Large"/>
    <s v="Low"/>
  </r>
  <r>
    <s v="ORD-0426"/>
    <s v="2026-04-10"/>
    <s v="Iris Patel"/>
    <x v="1"/>
    <s v="Ergonomic Chair"/>
    <s v="Furniture"/>
    <n v="26"/>
    <n v="299"/>
    <n v="7774"/>
    <n v="0"/>
    <n v="7774"/>
    <s v="Completed"/>
    <n v="7774"/>
    <n v="7475"/>
    <s v="April"/>
    <n v="-7475"/>
    <n v="0.96153846153846156"/>
    <n v="299"/>
    <s v="Large"/>
    <s v="High"/>
  </r>
  <r>
    <s v="ORD-0114"/>
    <s v="2026-04-11"/>
    <s v="Eve Torres"/>
    <x v="3"/>
    <s v="Cable Management Kit"/>
    <s v="Accessories"/>
    <n v="11"/>
    <n v="19.989999999999998"/>
    <n v="219.89"/>
    <n v="5"/>
    <n v="208.89549999999997"/>
    <s v="Completed"/>
    <n v="219.89"/>
    <n v="199.89999999999998"/>
    <s v="April"/>
    <n v="-188.90549999999996"/>
    <n v="0.9569377990430622"/>
    <n v="18.990499999999997"/>
    <s v="Large"/>
    <s v="High"/>
  </r>
  <r>
    <s v="ORD-0167"/>
    <s v="2026-04-11"/>
    <s v="Grace Park"/>
    <x v="1"/>
    <s v="VPN License (1yr)"/>
    <s v="Software"/>
    <n v="18"/>
    <n v="49.99"/>
    <n v="899.82"/>
    <n v="0"/>
    <n v="899.82"/>
    <s v="Completed"/>
    <n v="899.82"/>
    <n v="849.83"/>
    <s v="April"/>
    <n v="-849.83"/>
    <n v="0.94444444444444442"/>
    <n v="49.99"/>
    <s v="Large"/>
    <s v="Low"/>
  </r>
  <r>
    <s v="ORD-0097"/>
    <s v="2026-04-13"/>
    <s v="Iris Patel"/>
    <x v="1"/>
    <s v="Wireless Mouse"/>
    <s v="Accessories"/>
    <n v="30"/>
    <n v="29.99"/>
    <n v="899.69999999999993"/>
    <n v="0"/>
    <n v="899.69999999999993"/>
    <s v="Completed"/>
    <n v="899.69999999999993"/>
    <n v="869.70999999999992"/>
    <s v="April"/>
    <n v="-869.70999999999992"/>
    <n v="0.96666666666666667"/>
    <n v="29.99"/>
    <s v="Large"/>
    <s v="Low"/>
  </r>
  <r>
    <s v="ORD-0198"/>
    <s v="2026-04-13"/>
    <s v="Eve Torres"/>
    <x v="3"/>
    <s v="Antivirus Suite (1yr)"/>
    <s v="Software"/>
    <n v="14"/>
    <n v="59.99"/>
    <n v="839.86"/>
    <n v="5"/>
    <n v="797.86699999999996"/>
    <s v="Completed"/>
    <n v="839.86"/>
    <n v="779.87"/>
    <s v="April"/>
    <n v="-737.87699999999995"/>
    <n v="0.97744360902255645"/>
    <n v="56.990499999999997"/>
    <s v="Large"/>
    <s v="Low"/>
  </r>
  <r>
    <s v="ORD-0265"/>
    <s v="2026-04-17"/>
    <s v="Grace Park"/>
    <x v="1"/>
    <s v="Laptop Pro 15"/>
    <s v="Electronics"/>
    <n v="11"/>
    <n v="1299"/>
    <n v="14289"/>
    <n v="0"/>
    <n v="14289"/>
    <s v="Pending"/>
    <n v="14289"/>
    <n v="12990"/>
    <s v="April"/>
    <n v="-12990"/>
    <n v="0.90909090909090906"/>
    <n v="1299"/>
    <s v="Large"/>
    <s v="Low"/>
  </r>
  <r>
    <s v="ORD-0464"/>
    <s v="2026-04-17"/>
    <s v="Henry Wu"/>
    <x v="0"/>
    <s v="Cloud Backup (1yr)"/>
    <s v="Software"/>
    <n v="21"/>
    <n v="99"/>
    <n v="2079"/>
    <n v="12"/>
    <n v="1829.52"/>
    <s v="Completed"/>
    <n v="2079"/>
    <n v="1980"/>
    <s v="April"/>
    <n v="-1730.52"/>
    <n v="1.0822510822510822"/>
    <n v="87.12"/>
    <s v="Large"/>
    <s v="High"/>
  </r>
  <r>
    <s v="ORD-0169"/>
    <s v="2026-04-19"/>
    <s v="Alice Johnson"/>
    <x v="1"/>
    <s v="Project Mgmt License"/>
    <s v="Software"/>
    <n v="28"/>
    <n v="149"/>
    <n v="4172"/>
    <n v="15"/>
    <n v="3546.2"/>
    <s v="Completed"/>
    <n v="4172"/>
    <n v="4023"/>
    <s v="April"/>
    <n v="-3397.2"/>
    <n v="1.134453781512605"/>
    <n v="126.64999999999999"/>
    <s v="Large"/>
    <s v="High"/>
  </r>
  <r>
    <s v="ORD-0427"/>
    <s v="2026-04-19"/>
    <s v="Iris Patel"/>
    <x v="1"/>
    <s v="Standing Desk"/>
    <s v="Furniture"/>
    <n v="15"/>
    <n v="549"/>
    <n v="8235"/>
    <n v="0"/>
    <n v="8235"/>
    <s v="Pending"/>
    <n v="8235"/>
    <n v="7686"/>
    <s v="April"/>
    <n v="-7686"/>
    <n v="0.93333333333333335"/>
    <n v="549"/>
    <s v="Large"/>
    <s v="High"/>
  </r>
  <r>
    <s v="ORD-0448"/>
    <s v="2026-04-20"/>
    <s v="David Kim"/>
    <x v="2"/>
    <s v="USB-C Hub"/>
    <s v="Accessories"/>
    <n v="28"/>
    <n v="49.99"/>
    <n v="1399.72"/>
    <n v="0"/>
    <n v="1399.72"/>
    <s v="Completed"/>
    <n v="1399.72"/>
    <n v="1349.73"/>
    <s v="April"/>
    <n v="-1349.73"/>
    <n v="0.9642857142857143"/>
    <n v="49.99"/>
    <s v="Large"/>
    <s v="High"/>
  </r>
  <r>
    <s v="ORD-0096"/>
    <s v="2026-04-21"/>
    <s v="Grace Park"/>
    <x v="1"/>
    <s v="Wireless Mouse"/>
    <s v="Accessories"/>
    <n v="6"/>
    <n v="29.99"/>
    <n v="179.94"/>
    <n v="15"/>
    <n v="152.94899999999998"/>
    <s v="Completed"/>
    <n v="179.94"/>
    <n v="149.94999999999999"/>
    <s v="April"/>
    <n v="-122.95899999999999"/>
    <n v="0.98039215686274517"/>
    <n v="25.491499999999998"/>
    <s v="Small"/>
    <s v="High"/>
  </r>
  <r>
    <s v="ORD-0088"/>
    <s v="2026-04-22"/>
    <s v="James Rivera"/>
    <x v="3"/>
    <s v="Filing Cabinet"/>
    <s v="Furniture"/>
    <n v="21"/>
    <n v="169"/>
    <n v="3549"/>
    <n v="8"/>
    <n v="3265.08"/>
    <s v="Completed"/>
    <n v="3549"/>
    <n v="3380"/>
    <s v="April"/>
    <n v="-3096.08"/>
    <n v="1.0351966873706004"/>
    <n v="155.47999999999999"/>
    <s v="Large"/>
    <s v="Low"/>
  </r>
  <r>
    <s v="ORD-0105"/>
    <s v="2026-04-23"/>
    <s v="Grace Park"/>
    <x v="1"/>
    <s v="Standing Desk"/>
    <s v="Furniture"/>
    <n v="11"/>
    <n v="549"/>
    <n v="6039"/>
    <n v="15"/>
    <n v="5133.1499999999996"/>
    <s v="Completed"/>
    <n v="6039"/>
    <n v="5490"/>
    <s v="April"/>
    <n v="-4584.1499999999996"/>
    <n v="1.0695187165775402"/>
    <n v="466.65"/>
    <s v="Large"/>
    <s v="High"/>
  </r>
  <r>
    <s v="ORD-0457"/>
    <s v="2026-04-23"/>
    <s v="Frank Ng"/>
    <x v="2"/>
    <s v="VPN License (1yr)"/>
    <s v="Software"/>
    <n v="10"/>
    <n v="49.99"/>
    <n v="499.90000000000003"/>
    <n v="10"/>
    <n v="449.91"/>
    <s v="Completed"/>
    <n v="499.90000000000003"/>
    <n v="449.91"/>
    <s v="April"/>
    <n v="-399.92"/>
    <n v="1"/>
    <n v="44.991"/>
    <s v="Large"/>
    <s v="High"/>
  </r>
  <r>
    <s v="ORD-0344"/>
    <s v="2026-04-24"/>
    <s v="Alice Johnson"/>
    <x v="1"/>
    <s v="Monitor Arm"/>
    <s v="Accessories"/>
    <n v="18"/>
    <n v="79.989999999999995"/>
    <n v="1439.82"/>
    <n v="8"/>
    <n v="1324.6343999999999"/>
    <s v="Completed"/>
    <n v="1439.82"/>
    <n v="1359.83"/>
    <s v="April"/>
    <n v="-1244.6443999999999"/>
    <n v="1.0265700483091789"/>
    <n v="73.590800000000002"/>
    <s v="Large"/>
    <s v="Low"/>
  </r>
  <r>
    <s v="ORD-0273"/>
    <s v="2026-04-26"/>
    <s v="Frank Ng"/>
    <x v="2"/>
    <s v="Webcam HD"/>
    <s v="Electronics"/>
    <n v="15"/>
    <n v="79.989999999999995"/>
    <n v="1199.8499999999999"/>
    <n v="0"/>
    <n v="1199.8499999999999"/>
    <s v="Completed"/>
    <n v="1199.8499999999999"/>
    <n v="1119.8599999999999"/>
    <s v="April"/>
    <n v="-1119.8599999999999"/>
    <n v="0.93333333333333335"/>
    <n v="79.989999999999995"/>
    <s v="Large"/>
    <s v="High"/>
  </r>
  <r>
    <s v="ORD-0116"/>
    <s v="2026-04-27"/>
    <s v="Grace Park"/>
    <x v="1"/>
    <s v="Mechanical Keyboard"/>
    <s v="Accessories"/>
    <n v="27"/>
    <n v="89.99"/>
    <n v="2429.73"/>
    <n v="0"/>
    <n v="2429.73"/>
    <s v="Completed"/>
    <n v="2429.73"/>
    <n v="2339.7400000000002"/>
    <s v="April"/>
    <n v="-2339.7400000000002"/>
    <n v="0.96296296296296302"/>
    <n v="89.99"/>
    <s v="Large"/>
    <s v="High"/>
  </r>
  <r>
    <s v="ORD-0163"/>
    <s v="2026-04-27"/>
    <s v="Alice Johnson"/>
    <x v="1"/>
    <s v="VPN License (1yr)"/>
    <s v="Software"/>
    <n v="25"/>
    <n v="49.99"/>
    <n v="1249.75"/>
    <n v="0"/>
    <n v="1249.75"/>
    <s v="Completed"/>
    <n v="1249.75"/>
    <n v="1199.76"/>
    <s v="April"/>
    <n v="-1199.76"/>
    <n v="0.96"/>
    <n v="49.99"/>
    <s v="Large"/>
    <s v="High"/>
  </r>
  <r>
    <s v="ORD-0420"/>
    <s v="2026-04-28"/>
    <s v="James Rivera"/>
    <x v="3"/>
    <s v="Monitor Arm"/>
    <s v="Accessories"/>
    <n v="14"/>
    <n v="79.989999999999995"/>
    <n v="1119.8599999999999"/>
    <n v="15"/>
    <n v="951.88099999999986"/>
    <s v="Cancelled"/>
    <n v="1119.8599999999999"/>
    <n v="1039.8699999999999"/>
    <s v="April"/>
    <n v="-871.89099999999985"/>
    <n v="1.0924369747899161"/>
    <n v="67.991499999999988"/>
    <s v="Large"/>
    <s v="High"/>
  </r>
  <r>
    <s v="ORD-0430"/>
    <s v="2026-04-29"/>
    <s v="Bob Smith"/>
    <x v="3"/>
    <s v="Whiteboard"/>
    <s v="Furniture"/>
    <n v="2"/>
    <n v="129"/>
    <n v="258"/>
    <n v="0"/>
    <n v="258"/>
    <s v="Completed"/>
    <n v="258"/>
    <n v="129"/>
    <s v="April"/>
    <n v="-129"/>
    <n v="0.5"/>
    <n v="129"/>
    <s v="Small"/>
    <s v="Low"/>
  </r>
  <r>
    <s v="ORD-0089"/>
    <s v="2026-04-30"/>
    <s v="Henry Wu"/>
    <x v="0"/>
    <s v="Project Mgmt License"/>
    <s v="Software"/>
    <n v="7"/>
    <n v="149"/>
    <n v="1043"/>
    <n v="15"/>
    <n v="886.55"/>
    <s v="Pending"/>
    <n v="1043"/>
    <n v="894"/>
    <s v="April"/>
    <n v="-737.55"/>
    <n v="1.0084033613445378"/>
    <n v="126.64999999999999"/>
    <s v="Small"/>
    <s v="Low"/>
  </r>
  <r>
    <s v="ORD-0119"/>
    <s v="2026-04-30"/>
    <s v="James Rivera"/>
    <x v="3"/>
    <s v="Webcam HD"/>
    <s v="Electronics"/>
    <n v="8"/>
    <n v="79.989999999999995"/>
    <n v="639.91999999999996"/>
    <n v="0"/>
    <n v="639.91999999999996"/>
    <s v="Pending"/>
    <n v="639.91999999999996"/>
    <n v="559.92999999999995"/>
    <s v="April"/>
    <n v="-559.92999999999995"/>
    <n v="0.875"/>
    <n v="79.989999999999995"/>
    <s v="Small"/>
    <s v="Low"/>
  </r>
  <r>
    <s v="ORD-0447"/>
    <s v="2026-04-30"/>
    <s v="Eve Torres"/>
    <x v="3"/>
    <s v="Cable Management Kit"/>
    <s v="Accessories"/>
    <n v="6"/>
    <n v="19.989999999999998"/>
    <n v="119.94"/>
    <n v="15"/>
    <n v="101.949"/>
    <s v="Completed"/>
    <n v="119.94"/>
    <n v="99.95"/>
    <s v="April"/>
    <n v="-81.959000000000003"/>
    <n v="0.98039215686274517"/>
    <n v="16.991499999999998"/>
    <s v="Small"/>
    <s v="Low"/>
  </r>
  <r>
    <s v="ORD-0230"/>
    <s v="2026-05-03"/>
    <s v="Grace Park"/>
    <x v="1"/>
    <s v="Desk Lamp"/>
    <s v="Furniture"/>
    <n v="4"/>
    <n v="39.99"/>
    <n v="159.96"/>
    <n v="0"/>
    <n v="159.96"/>
    <s v="Completed"/>
    <n v="159.96"/>
    <n v="119.97"/>
    <s v="May"/>
    <n v="-119.97"/>
    <n v="0.75"/>
    <n v="39.99"/>
    <s v="Small"/>
    <s v="Low"/>
  </r>
  <r>
    <s v="ORD-0477"/>
    <s v="2026-05-03"/>
    <s v="Grace Park"/>
    <x v="1"/>
    <s v="Cable Management Kit"/>
    <s v="Accessories"/>
    <n v="13"/>
    <n v="19.989999999999998"/>
    <n v="259.87"/>
    <n v="15"/>
    <n v="220.8895"/>
    <s v="Completed"/>
    <n v="259.87"/>
    <n v="239.88"/>
    <s v="May"/>
    <n v="-200.89949999999999"/>
    <n v="1.0859728506787329"/>
    <n v="16.991499999999998"/>
    <s v="Large"/>
    <s v="Low"/>
  </r>
  <r>
    <s v="ORD-0107"/>
    <s v="2026-05-04"/>
    <s v="James Rivera"/>
    <x v="3"/>
    <s v="Design Suite License"/>
    <s v="Software"/>
    <n v="1"/>
    <n v="299"/>
    <n v="299"/>
    <n v="10"/>
    <n v="269.10000000000002"/>
    <s v="Completed"/>
    <n v="299"/>
    <n v="0"/>
    <s v="May"/>
    <n v="29.899999999999977"/>
    <n v="0"/>
    <n v="269.10000000000002"/>
    <s v="Small"/>
    <s v="Low"/>
  </r>
  <r>
    <s v="ORD-0146"/>
    <s v="2026-05-05"/>
    <s v="Frank Ng"/>
    <x v="2"/>
    <s v="Webcam 4K"/>
    <s v="Electronics"/>
    <n v="2"/>
    <n v="149.99"/>
    <n v="299.98"/>
    <n v="5"/>
    <n v="284.98099999999999"/>
    <s v="Completed"/>
    <n v="299.98"/>
    <n v="149.99"/>
    <s v="May"/>
    <n v="-134.99099999999999"/>
    <n v="0.52631578947368429"/>
    <n v="142.4905"/>
    <s v="Small"/>
    <s v="Low"/>
  </r>
  <r>
    <s v="ORD-0145"/>
    <s v="2026-05-06"/>
    <s v="Alice Johnson"/>
    <x v="1"/>
    <s v="Bookshelf"/>
    <s v="Furniture"/>
    <n v="10"/>
    <n v="199"/>
    <n v="1990"/>
    <n v="12"/>
    <n v="1751.2"/>
    <s v="Completed"/>
    <n v="1990"/>
    <n v="1791"/>
    <s v="May"/>
    <n v="-1552.2"/>
    <n v="1.0227272727272727"/>
    <n v="175.12"/>
    <s v="Large"/>
    <s v="Low"/>
  </r>
  <r>
    <s v="ORD-0047"/>
    <s v="2026-05-08"/>
    <s v="David Kim"/>
    <x v="2"/>
    <s v="Webcam 4K"/>
    <s v="Electronics"/>
    <n v="14"/>
    <n v="149.99"/>
    <n v="2099.86"/>
    <n v="12"/>
    <n v="1847.8768000000002"/>
    <s v="Completed"/>
    <n v="2099.86"/>
    <n v="1949.8700000000001"/>
    <s v="May"/>
    <n v="-1697.8868000000002"/>
    <n v="1.055194805194805"/>
    <n v="131.99120000000002"/>
    <s v="Large"/>
    <s v="High"/>
  </r>
  <r>
    <s v="ORD-0358"/>
    <s v="2026-05-10"/>
    <s v="Iris Patel"/>
    <x v="1"/>
    <s v="USB-C Hub"/>
    <s v="Accessories"/>
    <n v="21"/>
    <n v="49.99"/>
    <n v="1049.79"/>
    <n v="5"/>
    <n v="997.30049999999994"/>
    <s v="Completed"/>
    <n v="1049.79"/>
    <n v="999.8"/>
    <s v="May"/>
    <n v="-947.31049999999993"/>
    <n v="1.0025062656641603"/>
    <n v="47.490499999999997"/>
    <s v="Large"/>
    <s v="High"/>
  </r>
  <r>
    <s v="ORD-0469"/>
    <s v="2026-05-10"/>
    <s v="Iris Patel"/>
    <x v="1"/>
    <s v="Ergonomic Chair"/>
    <s v="Furniture"/>
    <n v="12"/>
    <n v="299"/>
    <n v="3588"/>
    <n v="0"/>
    <n v="3588"/>
    <s v="Pending"/>
    <n v="3588"/>
    <n v="3289"/>
    <s v="May"/>
    <n v="-3289"/>
    <n v="0.91666666666666663"/>
    <n v="299"/>
    <s v="Large"/>
    <s v="Low"/>
  </r>
  <r>
    <s v="ORD-0128"/>
    <s v="2026-05-11"/>
    <s v="Carol Lee"/>
    <x v="0"/>
    <s v="Cloud Backup (1yr)"/>
    <s v="Software"/>
    <n v="17"/>
    <n v="99"/>
    <n v="1683"/>
    <n v="5"/>
    <n v="1598.85"/>
    <s v="Completed"/>
    <n v="1683"/>
    <n v="1584"/>
    <s v="May"/>
    <n v="-1499.85"/>
    <n v="0.99071207430340558"/>
    <n v="94.05"/>
    <s v="Large"/>
    <s v="High"/>
  </r>
  <r>
    <s v="ORD-0101"/>
    <s v="2026-05-12"/>
    <s v="David Kim"/>
    <x v="2"/>
    <s v="Antivirus Suite (1yr)"/>
    <s v="Software"/>
    <n v="9"/>
    <n v="59.99"/>
    <n v="539.91"/>
    <n v="15"/>
    <n v="458.92349999999993"/>
    <s v="Pending"/>
    <n v="539.91"/>
    <n v="479.91999999999996"/>
    <s v="May"/>
    <n v="-398.93349999999992"/>
    <n v="1.0457516339869282"/>
    <n v="50.991499999999995"/>
    <s v="Small"/>
    <s v="High"/>
  </r>
  <r>
    <s v="ORD-0049"/>
    <s v="2026-05-14"/>
    <s v="Eve Torres"/>
    <x v="3"/>
    <s v="Ergonomic Chair"/>
    <s v="Furniture"/>
    <n v="10"/>
    <n v="299"/>
    <n v="2990"/>
    <n v="10"/>
    <n v="2691"/>
    <s v="Completed"/>
    <n v="2990"/>
    <n v="2691"/>
    <s v="May"/>
    <n v="-2392"/>
    <n v="1"/>
    <n v="269.10000000000002"/>
    <s v="Large"/>
    <s v="Low"/>
  </r>
  <r>
    <s v="ORD-0109"/>
    <s v="2026-05-15"/>
    <s v="Iris Patel"/>
    <x v="1"/>
    <s v="Filing Cabinet"/>
    <s v="Furniture"/>
    <n v="29"/>
    <n v="169"/>
    <n v="4901"/>
    <n v="5"/>
    <n v="4655.95"/>
    <s v="Completed"/>
    <n v="4901"/>
    <n v="4732"/>
    <s v="May"/>
    <n v="-4486.95"/>
    <n v="1.0163339382940109"/>
    <n v="160.54999999999998"/>
    <s v="Large"/>
    <s v="High"/>
  </r>
  <r>
    <s v="ORD-0134"/>
    <s v="2026-05-16"/>
    <s v="David Kim"/>
    <x v="2"/>
    <s v="Monitor 27&quot;"/>
    <s v="Electronics"/>
    <n v="8"/>
    <n v="399"/>
    <n v="3192"/>
    <n v="10"/>
    <n v="2872.8"/>
    <s v="Completed"/>
    <n v="3192"/>
    <n v="2793"/>
    <s v="May"/>
    <n v="-2473.8000000000002"/>
    <n v="0.97222222222222221"/>
    <n v="359.1"/>
    <s v="Small"/>
    <s v="High"/>
  </r>
  <r>
    <s v="ORD-0393"/>
    <s v="2026-05-16"/>
    <s v="Eve Torres"/>
    <x v="3"/>
    <s v="VPN License (1yr)"/>
    <s v="Software"/>
    <n v="10"/>
    <n v="49.99"/>
    <n v="499.90000000000003"/>
    <n v="5"/>
    <n v="474.90500000000003"/>
    <s v="Completed"/>
    <n v="499.90000000000003"/>
    <n v="449.91"/>
    <s v="May"/>
    <n v="-424.91500000000002"/>
    <n v="0.94736842105263153"/>
    <n v="47.490500000000004"/>
    <s v="Large"/>
    <s v="High"/>
  </r>
  <r>
    <s v="ORD-0425"/>
    <s v="2026-05-16"/>
    <s v="Henry Wu"/>
    <x v="0"/>
    <s v="Monitor 32&quot;"/>
    <s v="Electronics"/>
    <n v="22"/>
    <n v="599"/>
    <n v="13178"/>
    <n v="5"/>
    <n v="12519.099999999999"/>
    <s v="Completed"/>
    <n v="13178"/>
    <n v="12579"/>
    <s v="May"/>
    <n v="-11920.099999999999"/>
    <n v="1.0047846889952154"/>
    <n v="569.04999999999995"/>
    <s v="Large"/>
    <s v="Low"/>
  </r>
  <r>
    <s v="ORD-0465"/>
    <s v="2026-05-16"/>
    <s v="Frank Ng"/>
    <x v="2"/>
    <s v="Webcam 4K"/>
    <s v="Electronics"/>
    <n v="5"/>
    <n v="149.99"/>
    <n v="749.95"/>
    <n v="15"/>
    <n v="637.45749999999998"/>
    <s v="Completed"/>
    <n v="749.95"/>
    <n v="599.96"/>
    <s v="May"/>
    <n v="-487.46749999999997"/>
    <n v="0.94117647058823539"/>
    <n v="127.4915"/>
    <s v="Small"/>
    <s v="High"/>
  </r>
  <r>
    <s v="ORD-0126"/>
    <s v="2026-05-17"/>
    <s v="Frank Ng"/>
    <x v="2"/>
    <s v="Laptop Pro 15"/>
    <s v="Electronics"/>
    <n v="28"/>
    <n v="1299"/>
    <n v="36372"/>
    <n v="10"/>
    <n v="32734.799999999999"/>
    <s v="Completed"/>
    <n v="36372"/>
    <n v="35073"/>
    <s v="May"/>
    <n v="-31435.8"/>
    <n v="1.0714285714285714"/>
    <n v="1169.0999999999999"/>
    <s v="Large"/>
    <s v="Low"/>
  </r>
  <r>
    <s v="ORD-0218"/>
    <s v="2026-05-17"/>
    <s v="Carol Lee"/>
    <x v="0"/>
    <s v="Standing Desk"/>
    <s v="Furniture"/>
    <n v="21"/>
    <n v="549"/>
    <n v="11529"/>
    <n v="0"/>
    <n v="11529"/>
    <s v="Completed"/>
    <n v="11529"/>
    <n v="10980"/>
    <s v="May"/>
    <n v="-10980"/>
    <n v="0.95238095238095233"/>
    <n v="549"/>
    <s v="Large"/>
    <s v="High"/>
  </r>
  <r>
    <s v="ORD-0381"/>
    <s v="2026-05-17"/>
    <s v="Frank Ng"/>
    <x v="2"/>
    <s v="Desk Lamp"/>
    <s v="Furniture"/>
    <n v="27"/>
    <n v="39.99"/>
    <n v="1079.73"/>
    <n v="15"/>
    <n v="917.77049999999997"/>
    <s v="Pending"/>
    <n v="1079.73"/>
    <n v="1039.74"/>
    <s v="May"/>
    <n v="-877.78049999999996"/>
    <n v="1.1328976034858389"/>
    <n v="33.991500000000002"/>
    <s v="Large"/>
    <s v="High"/>
  </r>
  <r>
    <s v="ORD-0144"/>
    <s v="2026-05-18"/>
    <s v="Alice Johnson"/>
    <x v="1"/>
    <s v="Whiteboard"/>
    <s v="Furniture"/>
    <n v="10"/>
    <n v="129"/>
    <n v="1290"/>
    <n v="0"/>
    <n v="1290"/>
    <s v="Completed"/>
    <n v="1290"/>
    <n v="1161"/>
    <s v="May"/>
    <n v="-1161"/>
    <n v="0.9"/>
    <n v="129"/>
    <s v="Large"/>
    <s v="Low"/>
  </r>
  <r>
    <s v="ORD-0164"/>
    <s v="2026-05-19"/>
    <s v="Henry Wu"/>
    <x v="0"/>
    <s v="Mechanical Keyboard"/>
    <s v="Accessories"/>
    <n v="6"/>
    <n v="89.99"/>
    <n v="539.93999999999994"/>
    <n v="10"/>
    <n v="485.94599999999997"/>
    <s v="Completed"/>
    <n v="539.93999999999994"/>
    <n v="449.94999999999993"/>
    <s v="May"/>
    <n v="-395.95599999999996"/>
    <n v="0.92592592592592582"/>
    <n v="80.991"/>
    <s v="Small"/>
    <s v="High"/>
  </r>
  <r>
    <s v="ORD-0408"/>
    <s v="2026-05-21"/>
    <s v="Henry Wu"/>
    <x v="0"/>
    <s v="Antivirus Suite (1yr)"/>
    <s v="Software"/>
    <n v="18"/>
    <n v="59.99"/>
    <n v="1079.82"/>
    <n v="15"/>
    <n v="917.84699999999987"/>
    <s v="Completed"/>
    <n v="1079.82"/>
    <n v="1019.8299999999999"/>
    <s v="May"/>
    <n v="-857.85699999999986"/>
    <n v="1.1111111111111112"/>
    <n v="50.991499999999995"/>
    <s v="Large"/>
    <s v="Low"/>
  </r>
  <r>
    <s v="ORD-0094"/>
    <s v="2026-05-22"/>
    <s v="James Rivera"/>
    <x v="3"/>
    <s v="Noise Cancelling Headphones"/>
    <s v="Electronics"/>
    <n v="23"/>
    <n v="249"/>
    <n v="5727"/>
    <n v="10"/>
    <n v="5154.3"/>
    <s v="Completed"/>
    <n v="5727"/>
    <n v="5478"/>
    <s v="May"/>
    <n v="-4905.3"/>
    <n v="1.0628019323671498"/>
    <n v="224.1"/>
    <s v="Large"/>
    <s v="Low"/>
  </r>
  <r>
    <s v="ORD-0166"/>
    <s v="2026-05-23"/>
    <s v="Bob Smith"/>
    <x v="3"/>
    <s v="Webcam 4K"/>
    <s v="Electronics"/>
    <n v="11"/>
    <n v="149.99"/>
    <n v="1649.89"/>
    <n v="10"/>
    <n v="1484.9010000000001"/>
    <s v="Completed"/>
    <n v="1649.89"/>
    <n v="1499.9"/>
    <s v="May"/>
    <n v="-1334.9110000000001"/>
    <n v="1.0101010101010102"/>
    <n v="134.99100000000001"/>
    <s v="Large"/>
    <s v="High"/>
  </r>
  <r>
    <s v="ORD-0500"/>
    <s v="2026-05-23"/>
    <s v="Bob Smith"/>
    <x v="3"/>
    <s v="Monitor Arm"/>
    <s v="Accessories"/>
    <n v="9"/>
    <n v="79.989999999999995"/>
    <n v="719.91"/>
    <n v="5"/>
    <n v="683.91449999999998"/>
    <s v="Completed"/>
    <n v="719.91"/>
    <n v="639.91999999999996"/>
    <s v="May"/>
    <n v="-603.92449999999997"/>
    <n v="0.93567251461988299"/>
    <n v="75.990499999999997"/>
    <s v="Small"/>
    <s v="High"/>
  </r>
  <r>
    <s v="ORD-0201"/>
    <s v="2026-05-24"/>
    <s v="Grace Park"/>
    <x v="1"/>
    <s v="Mechanical Keyboard"/>
    <s v="Accessories"/>
    <n v="1"/>
    <n v="89.99"/>
    <n v="89.99"/>
    <n v="0"/>
    <n v="89.99"/>
    <s v="Completed"/>
    <n v="89.99"/>
    <n v="0"/>
    <s v="May"/>
    <n v="0"/>
    <n v="0"/>
    <n v="89.99"/>
    <s v="Small"/>
    <s v="Low"/>
  </r>
  <r>
    <s v="ORD-0357"/>
    <s v="2026-05-25"/>
    <s v="James Rivera"/>
    <x v="3"/>
    <s v="Standing Desk"/>
    <s v="Furniture"/>
    <n v="20"/>
    <n v="549"/>
    <n v="10980"/>
    <n v="0"/>
    <n v="10980"/>
    <s v="Pending"/>
    <n v="10980"/>
    <n v="10431"/>
    <s v="May"/>
    <n v="-10431"/>
    <n v="0.95"/>
    <n v="549"/>
    <s v="Large"/>
    <s v="Low"/>
  </r>
  <r>
    <s v="ORD-0367"/>
    <s v="2026-05-25"/>
    <s v="Henry Wu"/>
    <x v="0"/>
    <s v="Office Chair"/>
    <s v="Furniture"/>
    <n v="29"/>
    <n v="449"/>
    <n v="13021"/>
    <n v="5"/>
    <n v="12369.949999999999"/>
    <s v="Completed"/>
    <n v="13021"/>
    <n v="12572"/>
    <s v="May"/>
    <n v="-11920.949999999999"/>
    <n v="1.0163339382940111"/>
    <n v="426.54999999999995"/>
    <s v="Large"/>
    <s v="High"/>
  </r>
  <r>
    <s v="ORD-0170"/>
    <s v="2026-05-26"/>
    <s v="Alice Johnson"/>
    <x v="1"/>
    <s v="Noise Cancelling Headphones"/>
    <s v="Electronics"/>
    <n v="17"/>
    <n v="249"/>
    <n v="4233"/>
    <n v="8"/>
    <n v="3894.36"/>
    <s v="Pending"/>
    <n v="4233"/>
    <n v="3984"/>
    <s v="May"/>
    <n v="-3645.36"/>
    <n v="1.0230179028132993"/>
    <n v="229.08"/>
    <s v="Large"/>
    <s v="High"/>
  </r>
  <r>
    <s v="ORD-0175"/>
    <s v="2026-05-26"/>
    <s v="Henry Wu"/>
    <x v="0"/>
    <s v="Monitor 32&quot;"/>
    <s v="Electronics"/>
    <n v="21"/>
    <n v="599"/>
    <n v="12579"/>
    <n v="0"/>
    <n v="12579"/>
    <s v="Pending"/>
    <n v="12579"/>
    <n v="11980"/>
    <s v="May"/>
    <n v="-11980"/>
    <n v="0.95238095238095233"/>
    <n v="599"/>
    <s v="Large"/>
    <s v="High"/>
  </r>
  <r>
    <s v="ORD-0366"/>
    <s v="2026-05-26"/>
    <s v="Frank Ng"/>
    <x v="2"/>
    <s v="Noise Cancelling Headphones"/>
    <s v="Electronics"/>
    <n v="25"/>
    <n v="249"/>
    <n v="6225"/>
    <n v="0"/>
    <n v="6225"/>
    <s v="Completed"/>
    <n v="6225"/>
    <n v="5976"/>
    <s v="May"/>
    <n v="-5976"/>
    <n v="0.96"/>
    <n v="249"/>
    <s v="Large"/>
    <s v="High"/>
  </r>
  <r>
    <s v="ORD-0018"/>
    <s v="2026-05-27"/>
    <s v="James Rivera"/>
    <x v="3"/>
    <s v="Design Suite License"/>
    <s v="Software"/>
    <n v="11"/>
    <n v="299"/>
    <n v="3289"/>
    <n v="5"/>
    <n v="3124.5499999999997"/>
    <s v="Completed"/>
    <n v="3289"/>
    <n v="2990"/>
    <s v="May"/>
    <n v="-2825.5499999999997"/>
    <n v="0.95693779904306231"/>
    <n v="284.04999999999995"/>
    <s v="Large"/>
    <s v="High"/>
  </r>
  <r>
    <s v="ORD-0478"/>
    <s v="2026-05-27"/>
    <s v="Alice Johnson"/>
    <x v="1"/>
    <s v="Design Suite License"/>
    <s v="Software"/>
    <n v="6"/>
    <n v="299"/>
    <n v="1794"/>
    <n v="0"/>
    <n v="1794"/>
    <s v="Completed"/>
    <n v="1794"/>
    <n v="1495"/>
    <s v="May"/>
    <n v="-1495"/>
    <n v="0.83333333333333337"/>
    <n v="299"/>
    <s v="Small"/>
    <s v="High"/>
  </r>
  <r>
    <s v="ORD-0026"/>
    <s v="2026-05-28"/>
    <s v="Alice Johnson"/>
    <x v="1"/>
    <s v="Cloud Backup (1yr)"/>
    <s v="Software"/>
    <n v="29"/>
    <n v="99"/>
    <n v="2871"/>
    <n v="5"/>
    <n v="2727.45"/>
    <s v="Cancelled"/>
    <n v="2871"/>
    <n v="2772"/>
    <s v="May"/>
    <n v="-2628.45"/>
    <n v="1.0163339382940109"/>
    <n v="94.05"/>
    <s v="Large"/>
    <s v="High"/>
  </r>
  <r>
    <s v="ORD-0261"/>
    <s v="2026-05-28"/>
    <s v="Carol Lee"/>
    <x v="0"/>
    <s v="Cable Management Kit"/>
    <s v="Accessories"/>
    <n v="18"/>
    <n v="19.989999999999998"/>
    <n v="359.82"/>
    <n v="5"/>
    <n v="341.82899999999995"/>
    <s v="Completed"/>
    <n v="359.82"/>
    <n v="339.83"/>
    <s v="May"/>
    <n v="-321.83899999999994"/>
    <n v="0.99415204678362579"/>
    <n v="18.990499999999997"/>
    <s v="Large"/>
    <s v="High"/>
  </r>
  <r>
    <s v="ORD-0278"/>
    <s v="2026-05-29"/>
    <s v="David Kim"/>
    <x v="2"/>
    <s v="Laptop Stand"/>
    <s v="Accessories"/>
    <n v="20"/>
    <n v="59.99"/>
    <n v="1199.8"/>
    <n v="12"/>
    <n v="1055.8240000000001"/>
    <s v="Completed"/>
    <n v="1199.8"/>
    <n v="1139.81"/>
    <s v="May"/>
    <n v="-995.83400000000006"/>
    <n v="1.0795454545454544"/>
    <n v="52.791200000000003"/>
    <s v="Large"/>
    <s v="Low"/>
  </r>
  <r>
    <s v="ORD-0051"/>
    <s v="2026-05-30"/>
    <s v="Frank Ng"/>
    <x v="2"/>
    <s v="Laptop Pro 13"/>
    <s v="Electronics"/>
    <n v="2"/>
    <n v="999"/>
    <n v="1998"/>
    <n v="12"/>
    <n v="1758.24"/>
    <s v="Completed"/>
    <n v="1998"/>
    <n v="999"/>
    <s v="May"/>
    <n v="-759.24"/>
    <n v="0.56818181818181823"/>
    <n v="879.12"/>
    <s v="Small"/>
    <s v="High"/>
  </r>
  <r>
    <s v="ORD-0184"/>
    <s v="2026-05-30"/>
    <s v="Carol Lee"/>
    <x v="0"/>
    <s v="Office Chair"/>
    <s v="Furniture"/>
    <n v="2"/>
    <n v="449"/>
    <n v="898"/>
    <n v="0"/>
    <n v="898"/>
    <s v="Completed"/>
    <n v="898"/>
    <n v="449"/>
    <s v="May"/>
    <n v="-449"/>
    <n v="0.5"/>
    <n v="449"/>
    <s v="Small"/>
    <s v="High"/>
  </r>
  <r>
    <s v="ORD-0353"/>
    <s v="2026-05-30"/>
    <s v="Eve Torres"/>
    <x v="3"/>
    <s v="Filing Cabinet"/>
    <s v="Furniture"/>
    <n v="18"/>
    <n v="169"/>
    <n v="3042"/>
    <n v="0"/>
    <n v="3042"/>
    <s v="Pending"/>
    <n v="3042"/>
    <n v="2873"/>
    <s v="May"/>
    <n v="-2873"/>
    <n v="0.94444444444444442"/>
    <n v="169"/>
    <s v="Large"/>
    <s v="Low"/>
  </r>
  <r>
    <s v="ORD-0064"/>
    <s v="2026-06-02"/>
    <s v="Frank Ng"/>
    <x v="2"/>
    <s v="Noise Cancelling Headphones"/>
    <s v="Electronics"/>
    <n v="22"/>
    <n v="249"/>
    <n v="5478"/>
    <n v="5"/>
    <n v="5204.0999999999995"/>
    <s v="Completed"/>
    <n v="5478"/>
    <n v="5229"/>
    <s v="June"/>
    <n v="-4955.0999999999995"/>
    <n v="1.0047846889952154"/>
    <n v="236.54999999999998"/>
    <s v="Large"/>
    <s v="High"/>
  </r>
  <r>
    <s v="ORD-0237"/>
    <s v="2026-06-02"/>
    <s v="James Rivera"/>
    <x v="3"/>
    <s v="Desk Lamp"/>
    <s v="Furniture"/>
    <n v="10"/>
    <n v="39.99"/>
    <n v="399.90000000000003"/>
    <n v="12"/>
    <n v="351.91200000000003"/>
    <s v="Completed"/>
    <n v="399.90000000000003"/>
    <n v="359.91"/>
    <s v="June"/>
    <n v="-311.92200000000003"/>
    <n v="1.0227272727272727"/>
    <n v="35.191200000000002"/>
    <s v="Large"/>
    <s v="High"/>
  </r>
  <r>
    <s v="ORD-0423"/>
    <s v="2026-06-02"/>
    <s v="James Rivera"/>
    <x v="3"/>
    <s v="Monitor 32&quot;"/>
    <s v="Electronics"/>
    <n v="2"/>
    <n v="599"/>
    <n v="1198"/>
    <n v="15"/>
    <n v="1018.3"/>
    <s v="Completed"/>
    <n v="1198"/>
    <n v="599"/>
    <s v="June"/>
    <n v="-419.29999999999995"/>
    <n v="0.58823529411764708"/>
    <n v="509.15"/>
    <s v="Small"/>
    <s v="Low"/>
  </r>
  <r>
    <s v="ORD-0084"/>
    <s v="2026-06-04"/>
    <s v="Bob Smith"/>
    <x v="3"/>
    <s v="Cloud Backup (1yr)"/>
    <s v="Software"/>
    <n v="29"/>
    <n v="99"/>
    <n v="2871"/>
    <n v="5"/>
    <n v="2727.45"/>
    <s v="Completed"/>
    <n v="2871"/>
    <n v="2772"/>
    <s v="June"/>
    <n v="-2628.45"/>
    <n v="1.0163339382940109"/>
    <n v="94.05"/>
    <s v="Large"/>
    <s v="High"/>
  </r>
  <r>
    <s v="ORD-0245"/>
    <s v="2026-06-04"/>
    <s v="James Rivera"/>
    <x v="3"/>
    <s v="USB-C Hub"/>
    <s v="Accessories"/>
    <n v="12"/>
    <n v="49.99"/>
    <n v="599.88"/>
    <n v="0"/>
    <n v="599.88"/>
    <s v="Completed"/>
    <n v="599.88"/>
    <n v="549.89"/>
    <s v="June"/>
    <n v="-549.89"/>
    <n v="0.91666666666666663"/>
    <n v="49.99"/>
    <s v="Large"/>
    <s v="High"/>
  </r>
  <r>
    <s v="ORD-0276"/>
    <s v="2026-06-04"/>
    <s v="Frank Ng"/>
    <x v="2"/>
    <s v="USB-C Hub"/>
    <s v="Accessories"/>
    <n v="3"/>
    <n v="49.99"/>
    <n v="149.97"/>
    <n v="0"/>
    <n v="149.97"/>
    <s v="Completed"/>
    <n v="149.97"/>
    <n v="99.97999999999999"/>
    <s v="June"/>
    <n v="-99.97999999999999"/>
    <n v="0.66666666666666663"/>
    <n v="49.99"/>
    <s v="Small"/>
    <s v="Low"/>
  </r>
  <r>
    <s v="ORD-0314"/>
    <s v="2026-06-04"/>
    <s v="Bob Smith"/>
    <x v="3"/>
    <s v="Desk Lamp"/>
    <s v="Furniture"/>
    <n v="12"/>
    <n v="39.99"/>
    <n v="479.88"/>
    <n v="0"/>
    <n v="479.88"/>
    <s v="Completed"/>
    <n v="479.88"/>
    <n v="439.89"/>
    <s v="June"/>
    <n v="-439.89"/>
    <n v="0.91666666666666663"/>
    <n v="39.99"/>
    <s v="Large"/>
    <s v="Low"/>
  </r>
  <r>
    <s v="ORD-0288"/>
    <s v="2026-06-05"/>
    <s v="Iris Patel"/>
    <x v="1"/>
    <s v="Monitor 27&quot;"/>
    <s v="Electronics"/>
    <n v="21"/>
    <n v="399"/>
    <n v="8379"/>
    <n v="10"/>
    <n v="7541.1"/>
    <s v="Completed"/>
    <n v="8379"/>
    <n v="7980"/>
    <s v="June"/>
    <n v="-7142.1"/>
    <n v="1.0582010582010581"/>
    <n v="359.1"/>
    <s v="Large"/>
    <s v="Low"/>
  </r>
  <r>
    <s v="ORD-0493"/>
    <s v="2026-06-09"/>
    <s v="Carol Lee"/>
    <x v="0"/>
    <s v="Standing Desk"/>
    <s v="Furniture"/>
    <n v="15"/>
    <n v="549"/>
    <n v="8235"/>
    <n v="15"/>
    <n v="6999.75"/>
    <s v="Completed"/>
    <n v="8235"/>
    <n v="7686"/>
    <s v="June"/>
    <n v="-6450.75"/>
    <n v="1.0980392156862746"/>
    <n v="466.65"/>
    <s v="Large"/>
    <s v="High"/>
  </r>
  <r>
    <s v="ORD-0458"/>
    <s v="2026-06-10"/>
    <s v="Frank Ng"/>
    <x v="2"/>
    <s v="USB-C Hub"/>
    <s v="Accessories"/>
    <n v="9"/>
    <n v="49.99"/>
    <n v="449.91"/>
    <n v="8"/>
    <n v="413.91720000000004"/>
    <s v="Completed"/>
    <n v="449.91"/>
    <n v="399.92"/>
    <s v="June"/>
    <n v="-363.92720000000003"/>
    <n v="0.96618357487922701"/>
    <n v="45.990800000000007"/>
    <s v="Small"/>
    <s v="High"/>
  </r>
  <r>
    <s v="ORD-0090"/>
    <s v="2026-06-12"/>
    <s v="Carol Lee"/>
    <x v="0"/>
    <s v="Project Mgmt License"/>
    <s v="Software"/>
    <n v="3"/>
    <n v="149"/>
    <n v="447"/>
    <n v="5"/>
    <n v="424.65"/>
    <s v="Pending"/>
    <n v="447"/>
    <n v="298"/>
    <s v="June"/>
    <n v="-275.64999999999998"/>
    <n v="0.70175438596491235"/>
    <n v="141.54999999999998"/>
    <s v="Small"/>
    <s v="Low"/>
  </r>
  <r>
    <s v="ORD-0311"/>
    <s v="2026-06-12"/>
    <s v="Henry Wu"/>
    <x v="0"/>
    <s v="Filing Cabinet"/>
    <s v="Furniture"/>
    <n v="18"/>
    <n v="169"/>
    <n v="3042"/>
    <n v="0"/>
    <n v="3042"/>
    <s v="Completed"/>
    <n v="3042"/>
    <n v="2873"/>
    <s v="June"/>
    <n v="-2873"/>
    <n v="0.94444444444444442"/>
    <n v="169"/>
    <s v="Large"/>
    <s v="Low"/>
  </r>
  <r>
    <s v="ORD-0321"/>
    <s v="2026-06-12"/>
    <s v="Alice Johnson"/>
    <x v="1"/>
    <s v="Laptop Stand"/>
    <s v="Accessories"/>
    <n v="30"/>
    <n v="59.99"/>
    <n v="1799.7"/>
    <n v="5"/>
    <n v="1709.7149999999999"/>
    <s v="Completed"/>
    <n v="1799.7"/>
    <n v="1739.71"/>
    <s v="June"/>
    <n v="-1649.7249999999999"/>
    <n v="1.0175438596491229"/>
    <n v="56.990499999999997"/>
    <s v="Large"/>
    <s v="High"/>
  </r>
  <r>
    <m/>
    <m/>
    <m/>
    <x v="4"/>
    <m/>
    <s v="TOTALS"/>
    <n v="7637"/>
    <m/>
    <n v="1886331.149999999"/>
    <m/>
    <n v="1764806.5923000006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s v="ORD-0029"/>
    <s v="2025-01-01"/>
    <x v="0"/>
    <x v="0"/>
    <x v="0"/>
    <x v="0"/>
    <n v="25"/>
    <n v="129"/>
    <n v="3225"/>
    <n v="15"/>
    <n v="2741.25"/>
    <s v="Completed"/>
    <n v="3225"/>
    <n v="3096"/>
    <x v="0"/>
    <n v="-2612.25"/>
    <n v="1.1294117647058823"/>
    <n v="109.65"/>
    <s v="Large"/>
    <s v="High"/>
  </r>
  <r>
    <s v="ORD-0048"/>
    <s v="2025-01-03"/>
    <x v="1"/>
    <x v="1"/>
    <x v="1"/>
    <x v="1"/>
    <n v="6"/>
    <n v="999"/>
    <n v="5994"/>
    <n v="10"/>
    <n v="5394.6"/>
    <s v="Completed"/>
    <n v="5994"/>
    <n v="4995"/>
    <x v="0"/>
    <n v="-4395.6000000000004"/>
    <n v="0.92592592592592582"/>
    <n v="899.1"/>
    <s v="Small"/>
    <s v="High"/>
  </r>
  <r>
    <s v="ORD-0153"/>
    <s v="2025-01-03"/>
    <x v="0"/>
    <x v="0"/>
    <x v="0"/>
    <x v="0"/>
    <n v="3"/>
    <n v="129"/>
    <n v="387"/>
    <n v="0"/>
    <n v="387"/>
    <s v="Completed"/>
    <n v="387"/>
    <n v="258"/>
    <x v="0"/>
    <n v="-258"/>
    <n v="0.66666666666666663"/>
    <n v="129"/>
    <s v="Small"/>
    <s v="High"/>
  </r>
  <r>
    <s v="ORD-0037"/>
    <s v="2025-01-08"/>
    <x v="2"/>
    <x v="1"/>
    <x v="2"/>
    <x v="2"/>
    <n v="19"/>
    <n v="29.99"/>
    <n v="569.80999999999995"/>
    <n v="5"/>
    <n v="541.31949999999995"/>
    <s v="Completed"/>
    <n v="569.80999999999995"/>
    <n v="539.81999999999994"/>
    <x v="0"/>
    <n v="-511.32949999999994"/>
    <n v="0.99722991689750695"/>
    <n v="28.490499999999997"/>
    <s v="Large"/>
    <s v="Low"/>
  </r>
  <r>
    <s v="ORD-0258"/>
    <s v="2025-01-08"/>
    <x v="3"/>
    <x v="2"/>
    <x v="3"/>
    <x v="2"/>
    <n v="20"/>
    <n v="19.989999999999998"/>
    <n v="399.79999999999995"/>
    <n v="0"/>
    <n v="399.79999999999995"/>
    <s v="Completed"/>
    <n v="399.79999999999995"/>
    <n v="379.80999999999995"/>
    <x v="0"/>
    <n v="-379.80999999999995"/>
    <n v="0.95"/>
    <n v="19.989999999999998"/>
    <s v="Large"/>
    <s v="Low"/>
  </r>
  <r>
    <s v="ORD-0057"/>
    <s v="2025-01-10"/>
    <x v="4"/>
    <x v="3"/>
    <x v="4"/>
    <x v="0"/>
    <n v="11"/>
    <n v="299"/>
    <n v="3289"/>
    <n v="0"/>
    <n v="3289"/>
    <s v="Completed"/>
    <n v="3289"/>
    <n v="2990"/>
    <x v="0"/>
    <n v="-2990"/>
    <n v="0.90909090909090906"/>
    <n v="299"/>
    <s v="Large"/>
    <s v="Low"/>
  </r>
  <r>
    <s v="ORD-0067"/>
    <s v="2025-01-10"/>
    <x v="5"/>
    <x v="0"/>
    <x v="0"/>
    <x v="0"/>
    <n v="23"/>
    <n v="129"/>
    <n v="2967"/>
    <n v="10"/>
    <n v="2670.3"/>
    <s v="Completed"/>
    <n v="2967"/>
    <n v="2838"/>
    <x v="0"/>
    <n v="-2541.3000000000002"/>
    <n v="1.0628019323671496"/>
    <n v="116.10000000000001"/>
    <s v="Large"/>
    <s v="High"/>
  </r>
  <r>
    <s v="ORD-0468"/>
    <s v="2025-01-10"/>
    <x v="3"/>
    <x v="2"/>
    <x v="5"/>
    <x v="1"/>
    <n v="23"/>
    <n v="399"/>
    <n v="9177"/>
    <n v="0"/>
    <n v="9177"/>
    <s v="Completed"/>
    <n v="9177"/>
    <n v="8778"/>
    <x v="0"/>
    <n v="-8778"/>
    <n v="0.95652173913043481"/>
    <n v="399"/>
    <s v="Large"/>
    <s v="High"/>
  </r>
  <r>
    <s v="ORD-0133"/>
    <s v="2025-01-11"/>
    <x v="4"/>
    <x v="3"/>
    <x v="6"/>
    <x v="2"/>
    <n v="9"/>
    <n v="59.99"/>
    <n v="539.91"/>
    <n v="5"/>
    <n v="512.91449999999998"/>
    <s v="Completed"/>
    <n v="539.91"/>
    <n v="479.91999999999996"/>
    <x v="0"/>
    <n v="-452.92449999999997"/>
    <n v="0.93567251461988299"/>
    <n v="56.990499999999997"/>
    <s v="Small"/>
    <s v="High"/>
  </r>
  <r>
    <s v="ORD-0495"/>
    <s v="2025-01-13"/>
    <x v="6"/>
    <x v="3"/>
    <x v="6"/>
    <x v="2"/>
    <n v="28"/>
    <n v="59.99"/>
    <n v="1679.72"/>
    <n v="10"/>
    <n v="1511.748"/>
    <s v="Completed"/>
    <n v="1679.72"/>
    <n v="1619.73"/>
    <x v="0"/>
    <n v="-1451.758"/>
    <n v="1.0714285714285714"/>
    <n v="53.991"/>
    <s v="Large"/>
    <s v="Low"/>
  </r>
  <r>
    <s v="ORD-0210"/>
    <s v="2025-01-15"/>
    <x v="7"/>
    <x v="2"/>
    <x v="5"/>
    <x v="1"/>
    <n v="26"/>
    <n v="399"/>
    <n v="10374"/>
    <n v="10"/>
    <n v="9336.6"/>
    <s v="Completed"/>
    <n v="10374"/>
    <n v="9975"/>
    <x v="0"/>
    <n v="-8937.6"/>
    <n v="1.0683760683760684"/>
    <n v="359.1"/>
    <s v="Large"/>
    <s v="High"/>
  </r>
  <r>
    <s v="ORD-0046"/>
    <s v="2025-01-16"/>
    <x v="8"/>
    <x v="3"/>
    <x v="1"/>
    <x v="1"/>
    <n v="21"/>
    <n v="999"/>
    <n v="20979"/>
    <n v="15"/>
    <n v="17832.149999999998"/>
    <s v="Completed"/>
    <n v="20979"/>
    <n v="19980"/>
    <x v="0"/>
    <n v="-16833.149999999998"/>
    <n v="1.1204481792717089"/>
    <n v="849.14999999999986"/>
    <s v="Large"/>
    <s v="High"/>
  </r>
  <r>
    <s v="ORD-0036"/>
    <s v="2025-01-22"/>
    <x v="3"/>
    <x v="2"/>
    <x v="2"/>
    <x v="2"/>
    <n v="3"/>
    <n v="29.99"/>
    <n v="89.97"/>
    <n v="8"/>
    <n v="82.772400000000005"/>
    <s v="Completed"/>
    <n v="89.97"/>
    <n v="59.980000000000004"/>
    <x v="0"/>
    <n v="-52.78240000000001"/>
    <n v="0.72463768115942029"/>
    <n v="27.590800000000002"/>
    <s v="Small"/>
    <s v="High"/>
  </r>
  <r>
    <s v="ORD-0248"/>
    <s v="2025-01-27"/>
    <x v="2"/>
    <x v="1"/>
    <x v="7"/>
    <x v="3"/>
    <n v="27"/>
    <n v="49.99"/>
    <n v="1349.73"/>
    <n v="15"/>
    <n v="1147.2705000000001"/>
    <s v="Completed"/>
    <n v="1349.73"/>
    <n v="1299.74"/>
    <x v="0"/>
    <n v="-1097.2805000000001"/>
    <n v="1.1328976034858387"/>
    <n v="42.491500000000002"/>
    <s v="Large"/>
    <s v="Low"/>
  </r>
  <r>
    <s v="ORD-0112"/>
    <s v="2025-01-28"/>
    <x v="2"/>
    <x v="1"/>
    <x v="8"/>
    <x v="1"/>
    <n v="30"/>
    <n v="1299"/>
    <n v="38970"/>
    <n v="10"/>
    <n v="35073"/>
    <s v="Completed"/>
    <n v="38970"/>
    <n v="37671"/>
    <x v="0"/>
    <n v="-33774"/>
    <n v="1.0740740740740742"/>
    <n v="1169.0999999999999"/>
    <s v="Large"/>
    <s v="High"/>
  </r>
  <r>
    <s v="ORD-0383"/>
    <s v="2025-01-28"/>
    <x v="8"/>
    <x v="3"/>
    <x v="9"/>
    <x v="0"/>
    <n v="19"/>
    <n v="549"/>
    <n v="10431"/>
    <n v="5"/>
    <n v="9909.4499999999989"/>
    <s v="Completed"/>
    <n v="10431"/>
    <n v="9882"/>
    <x v="0"/>
    <n v="-9360.4499999999989"/>
    <n v="0.99722991689750706"/>
    <n v="521.54999999999995"/>
    <s v="Large"/>
    <s v="High"/>
  </r>
  <r>
    <s v="ORD-0191"/>
    <s v="2025-01-30"/>
    <x v="8"/>
    <x v="3"/>
    <x v="4"/>
    <x v="0"/>
    <n v="6"/>
    <n v="299"/>
    <n v="1794"/>
    <n v="5"/>
    <n v="1704.3"/>
    <s v="Completed"/>
    <n v="1794"/>
    <n v="1495"/>
    <x v="0"/>
    <n v="-1405.3"/>
    <n v="0.87719298245614041"/>
    <n v="284.05"/>
    <s v="Small"/>
    <s v="High"/>
  </r>
  <r>
    <s v="ORD-0437"/>
    <s v="2025-02-02"/>
    <x v="4"/>
    <x v="3"/>
    <x v="10"/>
    <x v="1"/>
    <n v="30"/>
    <n v="249"/>
    <n v="7470"/>
    <n v="0"/>
    <n v="7470"/>
    <s v="Pending"/>
    <n v="7470"/>
    <n v="7221"/>
    <x v="1"/>
    <n v="-7221"/>
    <n v="0.96666666666666667"/>
    <n v="249"/>
    <s v="Large"/>
    <s v="High"/>
  </r>
  <r>
    <s v="ORD-0476"/>
    <s v="2025-02-02"/>
    <x v="3"/>
    <x v="2"/>
    <x v="11"/>
    <x v="2"/>
    <n v="22"/>
    <n v="49.99"/>
    <n v="1099.78"/>
    <n v="0"/>
    <n v="1099.78"/>
    <s v="Completed"/>
    <n v="1099.78"/>
    <n v="1049.79"/>
    <x v="1"/>
    <n v="-1049.79"/>
    <n v="0.95454545454545459"/>
    <n v="49.99"/>
    <s v="Large"/>
    <s v="High"/>
  </r>
  <r>
    <s v="ORD-0481"/>
    <s v="2025-02-03"/>
    <x v="8"/>
    <x v="3"/>
    <x v="12"/>
    <x v="3"/>
    <n v="30"/>
    <n v="149"/>
    <n v="4470"/>
    <n v="5"/>
    <n v="4246.5"/>
    <s v="Completed"/>
    <n v="4470"/>
    <n v="4321"/>
    <x v="1"/>
    <n v="-4097.5"/>
    <n v="1.0175438596491229"/>
    <n v="141.55000000000001"/>
    <s v="Large"/>
    <s v="High"/>
  </r>
  <r>
    <s v="ORD-0204"/>
    <s v="2025-02-04"/>
    <x v="9"/>
    <x v="1"/>
    <x v="11"/>
    <x v="2"/>
    <n v="26"/>
    <n v="49.99"/>
    <n v="1299.74"/>
    <n v="12"/>
    <n v="1143.7711999999999"/>
    <s v="Completed"/>
    <n v="1299.74"/>
    <n v="1249.75"/>
    <x v="1"/>
    <n v="-1093.7811999999999"/>
    <n v="1.0926573426573427"/>
    <n v="43.991199999999999"/>
    <s v="Large"/>
    <s v="High"/>
  </r>
  <r>
    <s v="ORD-0466"/>
    <s v="2025-02-04"/>
    <x v="2"/>
    <x v="1"/>
    <x v="13"/>
    <x v="3"/>
    <n v="2"/>
    <n v="59.99"/>
    <n v="119.98"/>
    <n v="15"/>
    <n v="101.983"/>
    <s v="Completed"/>
    <n v="119.98"/>
    <n v="59.99"/>
    <x v="1"/>
    <n v="-41.993000000000002"/>
    <n v="0.58823529411764708"/>
    <n v="50.991500000000002"/>
    <s v="Small"/>
    <s v="High"/>
  </r>
  <r>
    <s v="ORD-0332"/>
    <s v="2025-02-05"/>
    <x v="0"/>
    <x v="0"/>
    <x v="8"/>
    <x v="1"/>
    <n v="5"/>
    <n v="1299"/>
    <n v="6495"/>
    <n v="12"/>
    <n v="5715.6"/>
    <s v="Completed"/>
    <n v="6495"/>
    <n v="5196"/>
    <x v="1"/>
    <n v="-4416.6000000000004"/>
    <n v="0.90909090909090906"/>
    <n v="1143.1200000000001"/>
    <s v="Small"/>
    <s v="Low"/>
  </r>
  <r>
    <s v="ORD-0068"/>
    <s v="2025-02-06"/>
    <x v="8"/>
    <x v="3"/>
    <x v="14"/>
    <x v="3"/>
    <n v="29"/>
    <n v="299"/>
    <n v="8671"/>
    <n v="0"/>
    <n v="8671"/>
    <s v="Completed"/>
    <n v="8671"/>
    <n v="8372"/>
    <x v="1"/>
    <n v="-8372"/>
    <n v="0.96551724137931039"/>
    <n v="299"/>
    <s v="Large"/>
    <s v="High"/>
  </r>
  <r>
    <s v="ORD-0405"/>
    <s v="2025-02-07"/>
    <x v="9"/>
    <x v="1"/>
    <x v="15"/>
    <x v="1"/>
    <n v="14"/>
    <n v="149.99"/>
    <n v="2099.86"/>
    <n v="0"/>
    <n v="2099.86"/>
    <s v="Completed"/>
    <n v="2099.86"/>
    <n v="1949.8700000000001"/>
    <x v="1"/>
    <n v="-1949.8700000000001"/>
    <n v="0.9285714285714286"/>
    <n v="149.99"/>
    <s v="Large"/>
    <s v="High"/>
  </r>
  <r>
    <s v="ORD-0215"/>
    <s v="2025-02-08"/>
    <x v="1"/>
    <x v="1"/>
    <x v="16"/>
    <x v="1"/>
    <n v="5"/>
    <n v="599"/>
    <n v="2995"/>
    <n v="0"/>
    <n v="2995"/>
    <s v="Completed"/>
    <n v="2995"/>
    <n v="2396"/>
    <x v="1"/>
    <n v="-2396"/>
    <n v="0.8"/>
    <n v="599"/>
    <s v="Small"/>
    <s v="High"/>
  </r>
  <r>
    <s v="ORD-0275"/>
    <s v="2025-02-08"/>
    <x v="8"/>
    <x v="3"/>
    <x v="11"/>
    <x v="2"/>
    <n v="15"/>
    <n v="49.99"/>
    <n v="749.85"/>
    <n v="12"/>
    <n v="659.86800000000005"/>
    <s v="Completed"/>
    <n v="749.85"/>
    <n v="699.86"/>
    <x v="1"/>
    <n v="-609.87800000000004"/>
    <n v="1.0606060606060606"/>
    <n v="43.991200000000006"/>
    <s v="Large"/>
    <s v="High"/>
  </r>
  <r>
    <s v="ORD-0291"/>
    <s v="2025-02-08"/>
    <x v="4"/>
    <x v="3"/>
    <x v="16"/>
    <x v="1"/>
    <n v="17"/>
    <n v="599"/>
    <n v="10183"/>
    <n v="15"/>
    <n v="8655.5499999999993"/>
    <s v="Pending"/>
    <n v="10183"/>
    <n v="9584"/>
    <x v="1"/>
    <n v="-8056.5499999999993"/>
    <n v="1.1072664359861593"/>
    <n v="509.15"/>
    <s v="Large"/>
    <s v="Low"/>
  </r>
  <r>
    <s v="ORD-0406"/>
    <s v="2025-02-08"/>
    <x v="5"/>
    <x v="0"/>
    <x v="15"/>
    <x v="1"/>
    <n v="30"/>
    <n v="149.99"/>
    <n v="4499.7000000000007"/>
    <n v="5"/>
    <n v="4274.7150000000001"/>
    <s v="Completed"/>
    <n v="4499.7000000000007"/>
    <n v="4349.7100000000009"/>
    <x v="1"/>
    <n v="-4124.7250000000004"/>
    <n v="1.0175438596491231"/>
    <n v="142.4905"/>
    <s v="Large"/>
    <s v="High"/>
  </r>
  <r>
    <s v="ORD-0079"/>
    <s v="2025-02-09"/>
    <x v="8"/>
    <x v="3"/>
    <x v="17"/>
    <x v="2"/>
    <n v="6"/>
    <n v="89.99"/>
    <n v="539.93999999999994"/>
    <n v="5"/>
    <n v="512.94299999999987"/>
    <s v="Completed"/>
    <n v="539.93999999999994"/>
    <n v="449.94999999999993"/>
    <x v="1"/>
    <n v="-422.95299999999986"/>
    <n v="0.87719298245614041"/>
    <n v="85.490499999999983"/>
    <s v="Small"/>
    <s v="High"/>
  </r>
  <r>
    <s v="ORD-0124"/>
    <s v="2025-02-12"/>
    <x v="4"/>
    <x v="3"/>
    <x v="12"/>
    <x v="3"/>
    <n v="20"/>
    <n v="149"/>
    <n v="2980"/>
    <n v="0"/>
    <n v="2980"/>
    <s v="Completed"/>
    <n v="2980"/>
    <n v="2831"/>
    <x v="1"/>
    <n v="-2831"/>
    <n v="0.95"/>
    <n v="149"/>
    <s v="Large"/>
    <s v="Low"/>
  </r>
  <r>
    <s v="ORD-0355"/>
    <s v="2025-02-12"/>
    <x v="6"/>
    <x v="3"/>
    <x v="18"/>
    <x v="3"/>
    <n v="29"/>
    <n v="99"/>
    <n v="2871"/>
    <n v="8"/>
    <n v="2641.32"/>
    <s v="Completed"/>
    <n v="2871"/>
    <n v="2772"/>
    <x v="1"/>
    <n v="-2542.3200000000002"/>
    <n v="1.0494752623688155"/>
    <n v="91.080000000000013"/>
    <s v="Large"/>
    <s v="High"/>
  </r>
  <r>
    <s v="ORD-0479"/>
    <s v="2025-02-13"/>
    <x v="7"/>
    <x v="2"/>
    <x v="19"/>
    <x v="0"/>
    <n v="28"/>
    <n v="199"/>
    <n v="5572"/>
    <n v="0"/>
    <n v="5572"/>
    <s v="Completed"/>
    <n v="5572"/>
    <n v="5373"/>
    <x v="1"/>
    <n v="-5373"/>
    <n v="0.9642857142857143"/>
    <n v="199"/>
    <s v="Large"/>
    <s v="High"/>
  </r>
  <r>
    <s v="ORD-0315"/>
    <s v="2025-02-14"/>
    <x v="2"/>
    <x v="1"/>
    <x v="8"/>
    <x v="1"/>
    <n v="13"/>
    <n v="1299"/>
    <n v="16887"/>
    <n v="12"/>
    <n v="14860.56"/>
    <s v="Pending"/>
    <n v="16887"/>
    <n v="15588"/>
    <x v="1"/>
    <n v="-13561.56"/>
    <n v="1.048951048951049"/>
    <n v="1143.1199999999999"/>
    <s v="Large"/>
    <s v="High"/>
  </r>
  <r>
    <s v="ORD-0320"/>
    <s v="2025-02-14"/>
    <x v="5"/>
    <x v="0"/>
    <x v="1"/>
    <x v="1"/>
    <n v="10"/>
    <n v="999"/>
    <n v="9990"/>
    <n v="5"/>
    <n v="9490.5"/>
    <s v="Completed"/>
    <n v="9990"/>
    <n v="8991"/>
    <x v="1"/>
    <n v="-8491.5"/>
    <n v="0.94736842105263153"/>
    <n v="949.05"/>
    <s v="Large"/>
    <s v="High"/>
  </r>
  <r>
    <s v="ORD-0372"/>
    <s v="2025-02-16"/>
    <x v="7"/>
    <x v="2"/>
    <x v="7"/>
    <x v="3"/>
    <n v="13"/>
    <n v="49.99"/>
    <n v="649.87"/>
    <n v="8"/>
    <n v="597.88040000000001"/>
    <s v="Completed"/>
    <n v="649.87"/>
    <n v="599.88"/>
    <x v="1"/>
    <n v="-547.8904"/>
    <n v="1.0033444816053512"/>
    <n v="45.9908"/>
    <s v="Large"/>
    <s v="High"/>
  </r>
  <r>
    <s v="ORD-0309"/>
    <s v="2025-02-18"/>
    <x v="4"/>
    <x v="3"/>
    <x v="2"/>
    <x v="2"/>
    <n v="10"/>
    <n v="29.99"/>
    <n v="299.89999999999998"/>
    <n v="0"/>
    <n v="299.89999999999998"/>
    <s v="Completed"/>
    <n v="299.89999999999998"/>
    <n v="269.90999999999997"/>
    <x v="1"/>
    <n v="-269.90999999999997"/>
    <n v="0.89999999999999991"/>
    <n v="29.99"/>
    <s v="Large"/>
    <s v="Low"/>
  </r>
  <r>
    <s v="ORD-0223"/>
    <s v="2025-02-21"/>
    <x v="3"/>
    <x v="2"/>
    <x v="13"/>
    <x v="3"/>
    <n v="21"/>
    <n v="59.99"/>
    <n v="1259.79"/>
    <n v="0"/>
    <n v="1259.79"/>
    <s v="Completed"/>
    <n v="1259.79"/>
    <n v="1199.8"/>
    <x v="1"/>
    <n v="-1199.8"/>
    <n v="0.95238095238095233"/>
    <n v="59.989999999999995"/>
    <s v="Large"/>
    <s v="Low"/>
  </r>
  <r>
    <s v="ORD-0244"/>
    <s v="2025-02-22"/>
    <x v="8"/>
    <x v="3"/>
    <x v="9"/>
    <x v="0"/>
    <n v="12"/>
    <n v="549"/>
    <n v="6588"/>
    <n v="10"/>
    <n v="5929.2"/>
    <s v="Completed"/>
    <n v="6588"/>
    <n v="6039"/>
    <x v="1"/>
    <n v="-5380.2"/>
    <n v="1.0185185185185186"/>
    <n v="494.09999999999997"/>
    <s v="Large"/>
    <s v="High"/>
  </r>
  <r>
    <s v="ORD-0384"/>
    <s v="2025-02-22"/>
    <x v="5"/>
    <x v="0"/>
    <x v="17"/>
    <x v="2"/>
    <n v="21"/>
    <n v="89.99"/>
    <n v="1889.79"/>
    <n v="5"/>
    <n v="1795.3004999999998"/>
    <s v="Completed"/>
    <n v="1889.79"/>
    <n v="1799.8"/>
    <x v="1"/>
    <n v="-1705.3104999999998"/>
    <n v="1.0025062656641606"/>
    <n v="85.490499999999997"/>
    <s v="Large"/>
    <s v="High"/>
  </r>
  <r>
    <s v="ORD-0451"/>
    <s v="2025-02-22"/>
    <x v="7"/>
    <x v="2"/>
    <x v="5"/>
    <x v="1"/>
    <n v="18"/>
    <n v="399"/>
    <n v="7182"/>
    <n v="5"/>
    <n v="6822.9"/>
    <s v="Completed"/>
    <n v="7182"/>
    <n v="6783"/>
    <x v="1"/>
    <n v="-6423.9"/>
    <n v="0.99415204678362579"/>
    <n v="379.04999999999995"/>
    <s v="Large"/>
    <s v="High"/>
  </r>
  <r>
    <s v="ORD-0229"/>
    <s v="2025-02-23"/>
    <x v="7"/>
    <x v="2"/>
    <x v="8"/>
    <x v="1"/>
    <n v="6"/>
    <n v="1299"/>
    <n v="7794"/>
    <n v="5"/>
    <n v="7404.2999999999993"/>
    <s v="Completed"/>
    <n v="7794"/>
    <n v="6495"/>
    <x v="1"/>
    <n v="-6105.2999999999993"/>
    <n v="0.87719298245614041"/>
    <n v="1234.05"/>
    <s v="Small"/>
    <s v="High"/>
  </r>
  <r>
    <s v="ORD-0282"/>
    <s v="2025-02-23"/>
    <x v="1"/>
    <x v="1"/>
    <x v="9"/>
    <x v="0"/>
    <n v="25"/>
    <n v="549"/>
    <n v="13725"/>
    <n v="8"/>
    <n v="12627"/>
    <s v="Pending"/>
    <n v="13725"/>
    <n v="13176"/>
    <x v="1"/>
    <n v="-12078"/>
    <n v="1.0434782608695652"/>
    <n v="505.08"/>
    <s v="Large"/>
    <s v="High"/>
  </r>
  <r>
    <s v="ORD-0400"/>
    <s v="2025-02-23"/>
    <x v="2"/>
    <x v="1"/>
    <x v="2"/>
    <x v="2"/>
    <n v="21"/>
    <n v="29.99"/>
    <n v="629.79"/>
    <n v="5"/>
    <n v="598.30049999999994"/>
    <s v="Completed"/>
    <n v="629.79"/>
    <n v="599.79999999999995"/>
    <x v="1"/>
    <n v="-568.31049999999993"/>
    <n v="1.0025062656641603"/>
    <n v="28.490499999999997"/>
    <s v="Large"/>
    <s v="High"/>
  </r>
  <r>
    <s v="ORD-0147"/>
    <s v="2025-02-24"/>
    <x v="8"/>
    <x v="3"/>
    <x v="3"/>
    <x v="2"/>
    <n v="16"/>
    <n v="19.989999999999998"/>
    <n v="319.83999999999997"/>
    <n v="0"/>
    <n v="319.83999999999997"/>
    <s v="Completed"/>
    <n v="319.83999999999997"/>
    <n v="299.84999999999997"/>
    <x v="1"/>
    <n v="-299.84999999999997"/>
    <n v="0.9375"/>
    <n v="19.989999999999998"/>
    <s v="Large"/>
    <s v="Low"/>
  </r>
  <r>
    <s v="ORD-0016"/>
    <s v="2025-02-27"/>
    <x v="2"/>
    <x v="1"/>
    <x v="2"/>
    <x v="2"/>
    <n v="22"/>
    <n v="29.99"/>
    <n v="659.78"/>
    <n v="8"/>
    <n v="606.99760000000003"/>
    <s v="Completed"/>
    <n v="659.78"/>
    <n v="629.79"/>
    <x v="1"/>
    <n v="-577.00760000000002"/>
    <n v="1.0375494071146243"/>
    <n v="27.590800000000002"/>
    <s v="Large"/>
    <s v="Low"/>
  </r>
  <r>
    <s v="ORD-0359"/>
    <s v="2025-03-03"/>
    <x v="1"/>
    <x v="1"/>
    <x v="11"/>
    <x v="2"/>
    <n v="15"/>
    <n v="49.99"/>
    <n v="749.85"/>
    <n v="0"/>
    <n v="749.85"/>
    <s v="Completed"/>
    <n v="749.85"/>
    <n v="699.86"/>
    <x v="2"/>
    <n v="-699.86"/>
    <n v="0.93333333333333335"/>
    <n v="49.99"/>
    <s v="Large"/>
    <s v="Low"/>
  </r>
  <r>
    <s v="ORD-0050"/>
    <s v="2025-03-04"/>
    <x v="3"/>
    <x v="2"/>
    <x v="11"/>
    <x v="2"/>
    <n v="7"/>
    <n v="49.99"/>
    <n v="349.93"/>
    <n v="0"/>
    <n v="349.93"/>
    <s v="Cancelled"/>
    <n v="349.93"/>
    <n v="299.94"/>
    <x v="2"/>
    <n v="-299.94"/>
    <n v="0.8571428571428571"/>
    <n v="49.99"/>
    <s v="Small"/>
    <s v="Low"/>
  </r>
  <r>
    <s v="ORD-0221"/>
    <s v="2025-03-04"/>
    <x v="7"/>
    <x v="2"/>
    <x v="0"/>
    <x v="0"/>
    <n v="29"/>
    <n v="129"/>
    <n v="3741"/>
    <n v="8"/>
    <n v="3441.7200000000003"/>
    <s v="Completed"/>
    <n v="3741"/>
    <n v="3612"/>
    <x v="2"/>
    <n v="-3312.7200000000003"/>
    <n v="1.0494752623688155"/>
    <n v="118.68"/>
    <s v="Large"/>
    <s v="Low"/>
  </r>
  <r>
    <s v="ORD-0388"/>
    <s v="2025-03-05"/>
    <x v="3"/>
    <x v="2"/>
    <x v="9"/>
    <x v="0"/>
    <n v="17"/>
    <n v="549"/>
    <n v="9333"/>
    <n v="12"/>
    <n v="8213.0400000000009"/>
    <s v="Pending"/>
    <n v="9333"/>
    <n v="8784"/>
    <x v="2"/>
    <n v="-7664.0400000000009"/>
    <n v="1.0695187165775399"/>
    <n v="483.12000000000006"/>
    <s v="Large"/>
    <s v="High"/>
  </r>
  <r>
    <s v="ORD-0310"/>
    <s v="2025-03-06"/>
    <x v="1"/>
    <x v="1"/>
    <x v="13"/>
    <x v="3"/>
    <n v="26"/>
    <n v="59.99"/>
    <n v="1559.74"/>
    <n v="12"/>
    <n v="1372.5712000000001"/>
    <s v="Completed"/>
    <n v="1559.74"/>
    <n v="1499.75"/>
    <x v="2"/>
    <n v="-1312.5812000000001"/>
    <n v="1.0926573426573425"/>
    <n v="52.791200000000003"/>
    <s v="Large"/>
    <s v="High"/>
  </r>
  <r>
    <s v="ORD-0017"/>
    <s v="2025-03-09"/>
    <x v="9"/>
    <x v="1"/>
    <x v="6"/>
    <x v="2"/>
    <n v="13"/>
    <n v="59.99"/>
    <n v="779.87"/>
    <n v="5"/>
    <n v="740.87649999999996"/>
    <s v="Completed"/>
    <n v="779.87"/>
    <n v="719.88"/>
    <x v="2"/>
    <n v="-680.88649999999996"/>
    <n v="0.97165991902834015"/>
    <n v="56.990499999999997"/>
    <s v="Large"/>
    <s v="High"/>
  </r>
  <r>
    <s v="ORD-0345"/>
    <s v="2025-03-09"/>
    <x v="0"/>
    <x v="0"/>
    <x v="20"/>
    <x v="0"/>
    <n v="29"/>
    <n v="169"/>
    <n v="4901"/>
    <n v="0"/>
    <n v="4901"/>
    <s v="Completed"/>
    <n v="4901"/>
    <n v="4732"/>
    <x v="2"/>
    <n v="-4732"/>
    <n v="0.96551724137931039"/>
    <n v="169"/>
    <s v="Large"/>
    <s v="Low"/>
  </r>
  <r>
    <s v="ORD-0241"/>
    <s v="2025-03-10"/>
    <x v="4"/>
    <x v="3"/>
    <x v="21"/>
    <x v="2"/>
    <n v="5"/>
    <n v="79.989999999999995"/>
    <n v="399.95"/>
    <n v="12"/>
    <n v="351.95600000000002"/>
    <s v="Completed"/>
    <n v="399.95"/>
    <n v="319.95999999999998"/>
    <x v="2"/>
    <n v="-271.96600000000001"/>
    <n v="0.90909090909090895"/>
    <n v="70.391199999999998"/>
    <s v="Small"/>
    <s v="High"/>
  </r>
  <r>
    <s v="ORD-0059"/>
    <s v="2025-03-12"/>
    <x v="4"/>
    <x v="3"/>
    <x v="22"/>
    <x v="1"/>
    <n v="30"/>
    <n v="79.989999999999995"/>
    <n v="2399.6999999999998"/>
    <n v="8"/>
    <n v="2207.7239999999997"/>
    <s v="Completed"/>
    <n v="2399.6999999999998"/>
    <n v="2319.71"/>
    <x v="2"/>
    <n v="-2127.7339999999999"/>
    <n v="1.0507246376811596"/>
    <n v="73.590799999999987"/>
    <s v="Large"/>
    <s v="Low"/>
  </r>
  <r>
    <s v="ORD-0117"/>
    <s v="2025-03-12"/>
    <x v="2"/>
    <x v="1"/>
    <x v="1"/>
    <x v="1"/>
    <n v="12"/>
    <n v="999"/>
    <n v="11988"/>
    <n v="5"/>
    <n v="11388.6"/>
    <s v="Cancelled"/>
    <n v="11988"/>
    <n v="10989"/>
    <x v="2"/>
    <n v="-10389.6"/>
    <n v="0.96491228070175439"/>
    <n v="949.05000000000007"/>
    <s v="Large"/>
    <s v="High"/>
  </r>
  <r>
    <s v="ORD-0125"/>
    <s v="2025-03-12"/>
    <x v="2"/>
    <x v="1"/>
    <x v="9"/>
    <x v="0"/>
    <n v="22"/>
    <n v="549"/>
    <n v="12078"/>
    <n v="8"/>
    <n v="11111.76"/>
    <s v="Completed"/>
    <n v="12078"/>
    <n v="11529"/>
    <x v="2"/>
    <n v="-10562.76"/>
    <n v="1.0375494071146245"/>
    <n v="505.08"/>
    <s v="Large"/>
    <s v="High"/>
  </r>
  <r>
    <s v="ORD-0224"/>
    <s v="2025-03-12"/>
    <x v="3"/>
    <x v="2"/>
    <x v="22"/>
    <x v="1"/>
    <n v="26"/>
    <n v="79.989999999999995"/>
    <n v="2079.7399999999998"/>
    <n v="5"/>
    <n v="1975.7529999999997"/>
    <s v="Cancelled"/>
    <n v="2079.7399999999998"/>
    <n v="1999.7499999999998"/>
    <x v="2"/>
    <n v="-1895.7629999999997"/>
    <n v="1.0121457489878543"/>
    <n v="75.990499999999983"/>
    <s v="Large"/>
    <s v="High"/>
  </r>
  <r>
    <s v="ORD-0178"/>
    <s v="2025-03-13"/>
    <x v="3"/>
    <x v="2"/>
    <x v="20"/>
    <x v="0"/>
    <n v="17"/>
    <n v="169"/>
    <n v="2873"/>
    <n v="0"/>
    <n v="2873"/>
    <s v="Completed"/>
    <n v="2873"/>
    <n v="2704"/>
    <x v="2"/>
    <n v="-2704"/>
    <n v="0.94117647058823528"/>
    <n v="169"/>
    <s v="Large"/>
    <s v="High"/>
  </r>
  <r>
    <s v="ORD-0452"/>
    <s v="2025-03-16"/>
    <x v="1"/>
    <x v="1"/>
    <x v="12"/>
    <x v="3"/>
    <n v="20"/>
    <n v="149"/>
    <n v="2980"/>
    <n v="0"/>
    <n v="2980"/>
    <s v="Completed"/>
    <n v="2980"/>
    <n v="2831"/>
    <x v="2"/>
    <n v="-2831"/>
    <n v="0.95"/>
    <n v="149"/>
    <s v="Large"/>
    <s v="High"/>
  </r>
  <r>
    <s v="ORD-0234"/>
    <s v="2025-03-17"/>
    <x v="8"/>
    <x v="3"/>
    <x v="23"/>
    <x v="0"/>
    <n v="23"/>
    <n v="449"/>
    <n v="10327"/>
    <n v="12"/>
    <n v="9087.76"/>
    <s v="Completed"/>
    <n v="10327"/>
    <n v="9878"/>
    <x v="2"/>
    <n v="-8638.76"/>
    <n v="1.0869565217391304"/>
    <n v="395.12"/>
    <s v="Large"/>
    <s v="High"/>
  </r>
  <r>
    <s v="ORD-0489"/>
    <s v="2025-03-17"/>
    <x v="6"/>
    <x v="3"/>
    <x v="11"/>
    <x v="2"/>
    <n v="26"/>
    <n v="49.99"/>
    <n v="1299.74"/>
    <n v="5"/>
    <n v="1234.7529999999999"/>
    <s v="Completed"/>
    <n v="1299.74"/>
    <n v="1249.75"/>
    <x v="2"/>
    <n v="-1184.7629999999999"/>
    <n v="1.0121457489878543"/>
    <n v="47.490499999999997"/>
    <s v="Large"/>
    <s v="High"/>
  </r>
  <r>
    <s v="ORD-0268"/>
    <s v="2025-03-20"/>
    <x v="7"/>
    <x v="2"/>
    <x v="2"/>
    <x v="2"/>
    <n v="11"/>
    <n v="29.99"/>
    <n v="329.89"/>
    <n v="0"/>
    <n v="329.89"/>
    <s v="Completed"/>
    <n v="329.89"/>
    <n v="299.89999999999998"/>
    <x v="2"/>
    <n v="-299.89999999999998"/>
    <n v="0.90909090909090906"/>
    <n v="29.99"/>
    <s v="Large"/>
    <s v="High"/>
  </r>
  <r>
    <s v="ORD-0009"/>
    <s v="2025-03-22"/>
    <x v="5"/>
    <x v="0"/>
    <x v="0"/>
    <x v="0"/>
    <n v="4"/>
    <n v="129"/>
    <n v="516"/>
    <n v="10"/>
    <n v="464.40000000000003"/>
    <s v="Completed"/>
    <n v="516"/>
    <n v="387"/>
    <x v="2"/>
    <n v="-335.40000000000003"/>
    <n v="0.83333333333333326"/>
    <n v="116.10000000000001"/>
    <s v="Small"/>
    <s v="Low"/>
  </r>
  <r>
    <s v="ORD-0326"/>
    <s v="2025-03-22"/>
    <x v="4"/>
    <x v="3"/>
    <x v="5"/>
    <x v="1"/>
    <n v="24"/>
    <n v="399"/>
    <n v="9576"/>
    <n v="10"/>
    <n v="8618.4"/>
    <s v="Completed"/>
    <n v="9576"/>
    <n v="9177"/>
    <x v="2"/>
    <n v="-8219.4"/>
    <n v="1.0648148148148149"/>
    <n v="359.09999999999997"/>
    <s v="Large"/>
    <s v="Low"/>
  </r>
  <r>
    <s v="ORD-0396"/>
    <s v="2025-03-22"/>
    <x v="0"/>
    <x v="0"/>
    <x v="11"/>
    <x v="2"/>
    <n v="2"/>
    <n v="49.99"/>
    <n v="99.98"/>
    <n v="5"/>
    <n v="94.980999999999995"/>
    <s v="Completed"/>
    <n v="99.98"/>
    <n v="49.99"/>
    <x v="2"/>
    <n v="-44.990999999999993"/>
    <n v="0.52631578947368429"/>
    <n v="47.490499999999997"/>
    <s v="Small"/>
    <s v="High"/>
  </r>
  <r>
    <s v="ORD-0450"/>
    <s v="2025-03-22"/>
    <x v="3"/>
    <x v="2"/>
    <x v="17"/>
    <x v="2"/>
    <n v="7"/>
    <n v="89.99"/>
    <n v="629.92999999999995"/>
    <n v="8"/>
    <n v="579.53559999999993"/>
    <s v="Completed"/>
    <n v="629.92999999999995"/>
    <n v="539.93999999999994"/>
    <x v="2"/>
    <n v="-489.54559999999992"/>
    <n v="0.93167701863354035"/>
    <n v="82.79079999999999"/>
    <s v="Small"/>
    <s v="Low"/>
  </r>
  <r>
    <s v="ORD-0484"/>
    <s v="2025-03-22"/>
    <x v="2"/>
    <x v="1"/>
    <x v="6"/>
    <x v="2"/>
    <n v="13"/>
    <n v="59.99"/>
    <n v="779.87"/>
    <n v="0"/>
    <n v="779.87"/>
    <s v="Completed"/>
    <n v="779.87"/>
    <n v="719.88"/>
    <x v="2"/>
    <n v="-719.88"/>
    <n v="0.92307692307692302"/>
    <n v="59.99"/>
    <s v="Large"/>
    <s v="Low"/>
  </r>
  <r>
    <s v="ORD-0103"/>
    <s v="2025-03-24"/>
    <x v="4"/>
    <x v="3"/>
    <x v="6"/>
    <x v="2"/>
    <n v="11"/>
    <n v="59.99"/>
    <n v="659.89"/>
    <n v="15"/>
    <n v="560.90649999999994"/>
    <s v="Completed"/>
    <n v="659.89"/>
    <n v="599.9"/>
    <x v="2"/>
    <n v="-500.91649999999993"/>
    <n v="1.0695187165775402"/>
    <n v="50.991499999999995"/>
    <s v="Large"/>
    <s v="Low"/>
  </r>
  <r>
    <s v="ORD-0160"/>
    <s v="2025-03-24"/>
    <x v="2"/>
    <x v="1"/>
    <x v="0"/>
    <x v="0"/>
    <n v="16"/>
    <n v="129"/>
    <n v="2064"/>
    <n v="12"/>
    <n v="1816.32"/>
    <s v="Completed"/>
    <n v="2064"/>
    <n v="1935"/>
    <x v="2"/>
    <n v="-1687.32"/>
    <n v="1.0653409090909092"/>
    <n v="113.52"/>
    <s v="Large"/>
    <s v="Low"/>
  </r>
  <r>
    <s v="ORD-0054"/>
    <s v="2025-03-25"/>
    <x v="6"/>
    <x v="3"/>
    <x v="2"/>
    <x v="2"/>
    <n v="19"/>
    <n v="29.99"/>
    <n v="569.80999999999995"/>
    <n v="0"/>
    <n v="569.80999999999995"/>
    <s v="Completed"/>
    <n v="569.80999999999995"/>
    <n v="539.81999999999994"/>
    <x v="2"/>
    <n v="-539.81999999999994"/>
    <n v="0.94736842105263153"/>
    <n v="29.99"/>
    <s v="Large"/>
    <s v="High"/>
  </r>
  <r>
    <s v="ORD-0254"/>
    <s v="2025-03-25"/>
    <x v="0"/>
    <x v="0"/>
    <x v="15"/>
    <x v="1"/>
    <n v="25"/>
    <n v="149.99"/>
    <n v="3749.75"/>
    <n v="0"/>
    <n v="3749.75"/>
    <s v="Completed"/>
    <n v="3749.75"/>
    <n v="3599.76"/>
    <x v="2"/>
    <n v="-3599.76"/>
    <n v="0.96000000000000008"/>
    <n v="149.99"/>
    <s v="Large"/>
    <s v="Low"/>
  </r>
  <r>
    <s v="ORD-0253"/>
    <s v="2025-03-28"/>
    <x v="0"/>
    <x v="0"/>
    <x v="21"/>
    <x v="2"/>
    <n v="10"/>
    <n v="79.989999999999995"/>
    <n v="799.9"/>
    <n v="8"/>
    <n v="735.90800000000002"/>
    <s v="Completed"/>
    <n v="799.9"/>
    <n v="719.91"/>
    <x v="2"/>
    <n v="-655.91800000000001"/>
    <n v="0.97826086956521729"/>
    <n v="73.590800000000002"/>
    <s v="Large"/>
    <s v="High"/>
  </r>
  <r>
    <s v="ORD-0279"/>
    <s v="2025-03-28"/>
    <x v="9"/>
    <x v="1"/>
    <x v="4"/>
    <x v="0"/>
    <n v="4"/>
    <n v="299"/>
    <n v="1196"/>
    <n v="8"/>
    <n v="1100.32"/>
    <s v="Completed"/>
    <n v="1196"/>
    <n v="897"/>
    <x v="2"/>
    <n v="-801.31999999999994"/>
    <n v="0.81521739130434789"/>
    <n v="275.08"/>
    <s v="Small"/>
    <s v="Low"/>
  </r>
  <r>
    <s v="ORD-0031"/>
    <s v="2025-03-29"/>
    <x v="3"/>
    <x v="2"/>
    <x v="1"/>
    <x v="1"/>
    <n v="8"/>
    <n v="999"/>
    <n v="7992"/>
    <n v="0"/>
    <n v="7992"/>
    <s v="Pending"/>
    <n v="7992"/>
    <n v="6993"/>
    <x v="2"/>
    <n v="-6993"/>
    <n v="0.875"/>
    <n v="999"/>
    <s v="Small"/>
    <s v="High"/>
  </r>
  <r>
    <s v="ORD-0488"/>
    <s v="2025-03-29"/>
    <x v="1"/>
    <x v="1"/>
    <x v="9"/>
    <x v="0"/>
    <n v="6"/>
    <n v="549"/>
    <n v="3294"/>
    <n v="10"/>
    <n v="2964.6"/>
    <s v="Cancelled"/>
    <n v="3294"/>
    <n v="2745"/>
    <x v="2"/>
    <n v="-2415.6"/>
    <n v="0.92592592592592593"/>
    <n v="494.09999999999997"/>
    <s v="Small"/>
    <s v="High"/>
  </r>
  <r>
    <s v="ORD-0412"/>
    <s v="2025-03-30"/>
    <x v="1"/>
    <x v="1"/>
    <x v="9"/>
    <x v="0"/>
    <n v="17"/>
    <n v="549"/>
    <n v="9333"/>
    <n v="8"/>
    <n v="8586.36"/>
    <s v="Completed"/>
    <n v="9333"/>
    <n v="8784"/>
    <x v="2"/>
    <n v="-8037.3600000000006"/>
    <n v="1.0230179028132991"/>
    <n v="505.08000000000004"/>
    <s v="Large"/>
    <s v="High"/>
  </r>
  <r>
    <s v="ORD-0002"/>
    <s v="2025-03-31"/>
    <x v="0"/>
    <x v="0"/>
    <x v="18"/>
    <x v="3"/>
    <n v="4"/>
    <n v="99"/>
    <n v="396"/>
    <n v="15"/>
    <n v="336.59999999999997"/>
    <s v="Completed"/>
    <n v="396"/>
    <n v="297"/>
    <x v="2"/>
    <n v="-237.59999999999997"/>
    <n v="0.88235294117647067"/>
    <n v="84.149999999999991"/>
    <s v="Small"/>
    <s v="High"/>
  </r>
  <r>
    <s v="ORD-0021"/>
    <s v="2025-04-04"/>
    <x v="3"/>
    <x v="2"/>
    <x v="22"/>
    <x v="1"/>
    <n v="17"/>
    <n v="79.989999999999995"/>
    <n v="1359.83"/>
    <n v="12"/>
    <n v="1196.6504"/>
    <s v="Cancelled"/>
    <n v="1359.83"/>
    <n v="1279.8399999999999"/>
    <x v="3"/>
    <n v="-1116.6604"/>
    <n v="1.0695187165775399"/>
    <n v="70.391199999999998"/>
    <s v="Large"/>
    <s v="Low"/>
  </r>
  <r>
    <s v="ORD-0222"/>
    <s v="2025-04-04"/>
    <x v="4"/>
    <x v="3"/>
    <x v="10"/>
    <x v="1"/>
    <n v="4"/>
    <n v="249"/>
    <n v="996"/>
    <n v="12"/>
    <n v="876.48"/>
    <s v="Pending"/>
    <n v="996"/>
    <n v="747"/>
    <x v="3"/>
    <n v="-627.48"/>
    <n v="0.85227272727272729"/>
    <n v="219.12"/>
    <s v="Small"/>
    <s v="High"/>
  </r>
  <r>
    <s v="ORD-0251"/>
    <s v="2025-04-04"/>
    <x v="0"/>
    <x v="0"/>
    <x v="18"/>
    <x v="3"/>
    <n v="21"/>
    <n v="99"/>
    <n v="2079"/>
    <n v="0"/>
    <n v="2079"/>
    <s v="Cancelled"/>
    <n v="2079"/>
    <n v="1980"/>
    <x v="3"/>
    <n v="-1980"/>
    <n v="0.95238095238095233"/>
    <n v="99"/>
    <s v="Large"/>
    <s v="Low"/>
  </r>
  <r>
    <s v="ORD-0301"/>
    <s v="2025-04-04"/>
    <x v="5"/>
    <x v="0"/>
    <x v="24"/>
    <x v="0"/>
    <n v="5"/>
    <n v="39.99"/>
    <n v="199.95000000000002"/>
    <n v="10"/>
    <n v="179.95500000000001"/>
    <s v="Completed"/>
    <n v="199.95000000000002"/>
    <n v="159.96"/>
    <x v="3"/>
    <n v="-139.965"/>
    <n v="0.88888888888888884"/>
    <n v="35.991"/>
    <s v="Small"/>
    <s v="High"/>
  </r>
  <r>
    <s v="ORD-0007"/>
    <s v="2025-04-05"/>
    <x v="3"/>
    <x v="2"/>
    <x v="7"/>
    <x v="3"/>
    <n v="11"/>
    <n v="49.99"/>
    <n v="549.89"/>
    <n v="0"/>
    <n v="549.89"/>
    <s v="Completed"/>
    <n v="549.89"/>
    <n v="499.9"/>
    <x v="3"/>
    <n v="-499.9"/>
    <n v="0.90909090909090906"/>
    <n v="49.99"/>
    <s v="Large"/>
    <s v="Low"/>
  </r>
  <r>
    <s v="ORD-0494"/>
    <s v="2025-04-06"/>
    <x v="8"/>
    <x v="3"/>
    <x v="8"/>
    <x v="1"/>
    <n v="3"/>
    <n v="1299"/>
    <n v="3897"/>
    <n v="8"/>
    <n v="3585.2400000000002"/>
    <s v="Completed"/>
    <n v="3897"/>
    <n v="2598"/>
    <x v="3"/>
    <n v="-2286.2400000000002"/>
    <n v="0.72463768115942029"/>
    <n v="1195.0800000000002"/>
    <s v="Small"/>
    <s v="Low"/>
  </r>
  <r>
    <s v="ORD-0203"/>
    <s v="2025-04-10"/>
    <x v="3"/>
    <x v="2"/>
    <x v="20"/>
    <x v="0"/>
    <n v="9"/>
    <n v="169"/>
    <n v="1521"/>
    <n v="0"/>
    <n v="1521"/>
    <s v="Pending"/>
    <n v="1521"/>
    <n v="1352"/>
    <x v="3"/>
    <n v="-1352"/>
    <n v="0.88888888888888884"/>
    <n v="169"/>
    <s v="Small"/>
    <s v="High"/>
  </r>
  <r>
    <s v="ORD-0042"/>
    <s v="2025-04-11"/>
    <x v="1"/>
    <x v="1"/>
    <x v="9"/>
    <x v="0"/>
    <n v="15"/>
    <n v="549"/>
    <n v="8235"/>
    <n v="0"/>
    <n v="8235"/>
    <s v="Completed"/>
    <n v="8235"/>
    <n v="7686"/>
    <x v="3"/>
    <n v="-7686"/>
    <n v="0.93333333333333335"/>
    <n v="549"/>
    <s v="Large"/>
    <s v="High"/>
  </r>
  <r>
    <s v="ORD-0220"/>
    <s v="2025-04-12"/>
    <x v="5"/>
    <x v="0"/>
    <x v="2"/>
    <x v="2"/>
    <n v="28"/>
    <n v="29.99"/>
    <n v="839.71999999999991"/>
    <n v="8"/>
    <n v="772.54239999999993"/>
    <s v="Pending"/>
    <n v="839.71999999999991"/>
    <n v="809.7299999999999"/>
    <x v="3"/>
    <n v="-742.55239999999992"/>
    <n v="1.0481366459627328"/>
    <n v="27.590799999999998"/>
    <s v="Large"/>
    <s v="High"/>
  </r>
  <r>
    <s v="ORD-0304"/>
    <s v="2025-04-12"/>
    <x v="7"/>
    <x v="2"/>
    <x v="2"/>
    <x v="2"/>
    <n v="1"/>
    <n v="29.99"/>
    <n v="29.99"/>
    <n v="8"/>
    <n v="27.590799999999998"/>
    <s v="Pending"/>
    <n v="29.99"/>
    <n v="0"/>
    <x v="3"/>
    <n v="2.3992000000000004"/>
    <n v="0"/>
    <n v="27.590799999999998"/>
    <s v="Small"/>
    <s v="Low"/>
  </r>
  <r>
    <s v="ORD-0185"/>
    <s v="2025-04-13"/>
    <x v="7"/>
    <x v="2"/>
    <x v="16"/>
    <x v="1"/>
    <n v="28"/>
    <n v="599"/>
    <n v="16772"/>
    <n v="12"/>
    <n v="14759.36"/>
    <s v="Completed"/>
    <n v="16772"/>
    <n v="16173"/>
    <x v="3"/>
    <n v="-14160.36"/>
    <n v="1.0957792207792207"/>
    <n v="527.12"/>
    <s v="Large"/>
    <s v="Low"/>
  </r>
  <r>
    <s v="ORD-0401"/>
    <s v="2025-04-13"/>
    <x v="1"/>
    <x v="1"/>
    <x v="6"/>
    <x v="2"/>
    <n v="23"/>
    <n v="59.99"/>
    <n v="1379.77"/>
    <n v="12"/>
    <n v="1214.1976"/>
    <s v="Pending"/>
    <n v="1379.77"/>
    <n v="1319.78"/>
    <x v="3"/>
    <n v="-1154.2076"/>
    <n v="1.0869565217391304"/>
    <n v="52.791199999999996"/>
    <s v="Large"/>
    <s v="High"/>
  </r>
  <r>
    <s v="ORD-0123"/>
    <s v="2025-04-15"/>
    <x v="3"/>
    <x v="2"/>
    <x v="5"/>
    <x v="1"/>
    <n v="19"/>
    <n v="399"/>
    <n v="7581"/>
    <n v="5"/>
    <n v="7201.95"/>
    <s v="Pending"/>
    <n v="7581"/>
    <n v="7182"/>
    <x v="3"/>
    <n v="-6802.95"/>
    <n v="0.99722991689750695"/>
    <n v="379.05"/>
    <s v="Large"/>
    <s v="High"/>
  </r>
  <r>
    <s v="ORD-0299"/>
    <s v="2025-04-16"/>
    <x v="9"/>
    <x v="1"/>
    <x v="13"/>
    <x v="3"/>
    <n v="16"/>
    <n v="59.99"/>
    <n v="959.84"/>
    <n v="8"/>
    <n v="883.05280000000005"/>
    <s v="Pending"/>
    <n v="959.84"/>
    <n v="899.85"/>
    <x v="3"/>
    <n v="-823.06280000000004"/>
    <n v="1.0190217391304348"/>
    <n v="55.190800000000003"/>
    <s v="Large"/>
    <s v="High"/>
  </r>
  <r>
    <s v="ORD-0362"/>
    <s v="2025-04-19"/>
    <x v="0"/>
    <x v="0"/>
    <x v="7"/>
    <x v="3"/>
    <n v="12"/>
    <n v="49.99"/>
    <n v="599.88"/>
    <n v="15"/>
    <n v="509.89799999999997"/>
    <s v="Completed"/>
    <n v="599.88"/>
    <n v="549.89"/>
    <x v="3"/>
    <n v="-459.90799999999996"/>
    <n v="1.0784313725490196"/>
    <n v="42.491499999999995"/>
    <s v="Large"/>
    <s v="Low"/>
  </r>
  <r>
    <s v="ORD-0062"/>
    <s v="2025-04-20"/>
    <x v="8"/>
    <x v="3"/>
    <x v="22"/>
    <x v="1"/>
    <n v="9"/>
    <n v="79.989999999999995"/>
    <n v="719.91"/>
    <n v="0"/>
    <n v="719.91"/>
    <s v="Cancelled"/>
    <n v="719.91"/>
    <n v="639.91999999999996"/>
    <x v="3"/>
    <n v="-639.91999999999996"/>
    <n v="0.88888888888888884"/>
    <n v="79.989999999999995"/>
    <s v="Small"/>
    <s v="Low"/>
  </r>
  <r>
    <s v="ORD-0095"/>
    <s v="2025-04-20"/>
    <x v="3"/>
    <x v="2"/>
    <x v="22"/>
    <x v="1"/>
    <n v="21"/>
    <n v="79.989999999999995"/>
    <n v="1679.79"/>
    <n v="0"/>
    <n v="1679.79"/>
    <s v="Cancelled"/>
    <n v="1679.79"/>
    <n v="1599.8"/>
    <x v="3"/>
    <n v="-1599.8"/>
    <n v="0.95238095238095233"/>
    <n v="79.989999999999995"/>
    <s v="Large"/>
    <s v="Low"/>
  </r>
  <r>
    <s v="ORD-0199"/>
    <s v="2025-04-20"/>
    <x v="3"/>
    <x v="2"/>
    <x v="3"/>
    <x v="2"/>
    <n v="28"/>
    <n v="19.989999999999998"/>
    <n v="559.71999999999991"/>
    <n v="12"/>
    <n v="492.5535999999999"/>
    <s v="Completed"/>
    <n v="559.71999999999991"/>
    <n v="539.7299999999999"/>
    <x v="3"/>
    <n v="-472.56359999999989"/>
    <n v="1.0957792207792207"/>
    <n v="17.591199999999997"/>
    <s v="Large"/>
    <s v="High"/>
  </r>
  <r>
    <s v="ORD-0246"/>
    <s v="2025-04-21"/>
    <x v="0"/>
    <x v="0"/>
    <x v="12"/>
    <x v="3"/>
    <n v="16"/>
    <n v="149"/>
    <n v="2384"/>
    <n v="5"/>
    <n v="2264.7999999999997"/>
    <s v="Completed"/>
    <n v="2384"/>
    <n v="2235"/>
    <x v="3"/>
    <n v="-2115.7999999999997"/>
    <n v="0.98684210526315796"/>
    <n v="141.54999999999998"/>
    <s v="Large"/>
    <s v="Low"/>
  </r>
  <r>
    <s v="ORD-0227"/>
    <s v="2025-04-23"/>
    <x v="2"/>
    <x v="1"/>
    <x v="17"/>
    <x v="2"/>
    <n v="26"/>
    <n v="89.99"/>
    <n v="2339.7399999999998"/>
    <n v="0"/>
    <n v="2339.7399999999998"/>
    <s v="Pending"/>
    <n v="2339.7399999999998"/>
    <n v="2249.75"/>
    <x v="3"/>
    <n v="-2249.75"/>
    <n v="0.96153846153846168"/>
    <n v="89.99"/>
    <s v="Large"/>
    <s v="High"/>
  </r>
  <r>
    <s v="ORD-0409"/>
    <s v="2025-04-26"/>
    <x v="2"/>
    <x v="1"/>
    <x v="4"/>
    <x v="0"/>
    <n v="9"/>
    <n v="299"/>
    <n v="2691"/>
    <n v="5"/>
    <n v="2556.4499999999998"/>
    <s v="Completed"/>
    <n v="2691"/>
    <n v="2392"/>
    <x v="3"/>
    <n v="-2257.4499999999998"/>
    <n v="0.9356725146198831"/>
    <n v="284.04999999999995"/>
    <s v="Small"/>
    <s v="High"/>
  </r>
  <r>
    <s v="ORD-0256"/>
    <s v="2025-04-27"/>
    <x v="4"/>
    <x v="3"/>
    <x v="10"/>
    <x v="1"/>
    <n v="25"/>
    <n v="249"/>
    <n v="6225"/>
    <n v="15"/>
    <n v="5291.25"/>
    <s v="Completed"/>
    <n v="6225"/>
    <n v="5976"/>
    <x v="3"/>
    <n v="-5042.25"/>
    <n v="1.1294117647058823"/>
    <n v="211.65"/>
    <s v="Large"/>
    <s v="High"/>
  </r>
  <r>
    <s v="ORD-0208"/>
    <s v="2025-04-28"/>
    <x v="4"/>
    <x v="3"/>
    <x v="18"/>
    <x v="3"/>
    <n v="28"/>
    <n v="99"/>
    <n v="2772"/>
    <n v="8"/>
    <n v="2550.2400000000002"/>
    <s v="Completed"/>
    <n v="2772"/>
    <n v="2673"/>
    <x v="3"/>
    <n v="-2451.2400000000002"/>
    <n v="1.0481366459627328"/>
    <n v="91.080000000000013"/>
    <s v="Large"/>
    <s v="High"/>
  </r>
  <r>
    <s v="ORD-0416"/>
    <s v="2025-05-02"/>
    <x v="7"/>
    <x v="2"/>
    <x v="14"/>
    <x v="3"/>
    <n v="8"/>
    <n v="299"/>
    <n v="2392"/>
    <n v="0"/>
    <n v="2392"/>
    <s v="Completed"/>
    <n v="2392"/>
    <n v="2093"/>
    <x v="4"/>
    <n v="-2093"/>
    <n v="0.875"/>
    <n v="299"/>
    <s v="Small"/>
    <s v="High"/>
  </r>
  <r>
    <s v="ORD-0433"/>
    <s v="2025-05-02"/>
    <x v="2"/>
    <x v="1"/>
    <x v="22"/>
    <x v="1"/>
    <n v="21"/>
    <n v="79.989999999999995"/>
    <n v="1679.79"/>
    <n v="8"/>
    <n v="1545.4068"/>
    <s v="Completed"/>
    <n v="1679.79"/>
    <n v="1599.8"/>
    <x v="4"/>
    <n v="-1465.4168"/>
    <n v="1.0351966873706004"/>
    <n v="73.590800000000002"/>
    <s v="Large"/>
    <s v="High"/>
  </r>
  <r>
    <s v="ORD-0172"/>
    <s v="2025-05-05"/>
    <x v="0"/>
    <x v="0"/>
    <x v="11"/>
    <x v="2"/>
    <n v="15"/>
    <n v="49.99"/>
    <n v="749.85"/>
    <n v="12"/>
    <n v="659.86800000000005"/>
    <s v="Completed"/>
    <n v="749.85"/>
    <n v="699.86"/>
    <x v="4"/>
    <n v="-609.87800000000004"/>
    <n v="1.0606060606060606"/>
    <n v="43.991200000000006"/>
    <s v="Large"/>
    <s v="High"/>
  </r>
  <r>
    <s v="ORD-0032"/>
    <s v="2025-05-09"/>
    <x v="5"/>
    <x v="0"/>
    <x v="5"/>
    <x v="1"/>
    <n v="25"/>
    <n v="399"/>
    <n v="9975"/>
    <n v="15"/>
    <n v="8478.75"/>
    <s v="Completed"/>
    <n v="9975"/>
    <n v="9576"/>
    <x v="4"/>
    <n v="-8079.75"/>
    <n v="1.1294117647058823"/>
    <n v="339.15"/>
    <s v="Large"/>
    <s v="Low"/>
  </r>
  <r>
    <s v="ORD-0235"/>
    <s v="2025-05-10"/>
    <x v="7"/>
    <x v="2"/>
    <x v="20"/>
    <x v="0"/>
    <n v="5"/>
    <n v="169"/>
    <n v="845"/>
    <n v="0"/>
    <n v="845"/>
    <s v="Completed"/>
    <n v="845"/>
    <n v="676"/>
    <x v="4"/>
    <n v="-676"/>
    <n v="0.8"/>
    <n v="169"/>
    <s v="Small"/>
    <s v="High"/>
  </r>
  <r>
    <s v="ORD-0069"/>
    <s v="2025-05-11"/>
    <x v="6"/>
    <x v="3"/>
    <x v="0"/>
    <x v="0"/>
    <n v="5"/>
    <n v="129"/>
    <n v="645"/>
    <n v="10"/>
    <n v="580.5"/>
    <s v="Completed"/>
    <n v="645"/>
    <n v="516"/>
    <x v="4"/>
    <n v="-451.5"/>
    <n v="0.88888888888888884"/>
    <n v="116.1"/>
    <s v="Small"/>
    <s v="Low"/>
  </r>
  <r>
    <s v="ORD-0085"/>
    <s v="2025-05-11"/>
    <x v="1"/>
    <x v="1"/>
    <x v="6"/>
    <x v="2"/>
    <n v="13"/>
    <n v="59.99"/>
    <n v="779.87"/>
    <n v="5"/>
    <n v="740.87649999999996"/>
    <s v="Completed"/>
    <n v="779.87"/>
    <n v="719.88"/>
    <x v="4"/>
    <n v="-680.88649999999996"/>
    <n v="0.97165991902834015"/>
    <n v="56.990499999999997"/>
    <s v="Large"/>
    <s v="Low"/>
  </r>
  <r>
    <s v="ORD-0111"/>
    <s v="2025-05-11"/>
    <x v="1"/>
    <x v="1"/>
    <x v="18"/>
    <x v="3"/>
    <n v="6"/>
    <n v="99"/>
    <n v="594"/>
    <n v="12"/>
    <n v="522.72"/>
    <s v="Completed"/>
    <n v="594"/>
    <n v="495"/>
    <x v="4"/>
    <n v="-423.72"/>
    <n v="0.94696969696969691"/>
    <n v="87.12"/>
    <s v="Small"/>
    <s v="Low"/>
  </r>
  <r>
    <s v="ORD-0287"/>
    <s v="2025-05-11"/>
    <x v="1"/>
    <x v="1"/>
    <x v="13"/>
    <x v="3"/>
    <n v="26"/>
    <n v="59.99"/>
    <n v="1559.74"/>
    <n v="8"/>
    <n v="1434.9608000000001"/>
    <s v="Pending"/>
    <n v="1559.74"/>
    <n v="1499.75"/>
    <x v="4"/>
    <n v="-1374.9708000000001"/>
    <n v="1.0451505016722407"/>
    <n v="55.190800000000003"/>
    <s v="Large"/>
    <s v="Low"/>
  </r>
  <r>
    <s v="ORD-0375"/>
    <s v="2025-05-12"/>
    <x v="2"/>
    <x v="1"/>
    <x v="17"/>
    <x v="2"/>
    <n v="27"/>
    <n v="89.99"/>
    <n v="2429.73"/>
    <n v="0"/>
    <n v="2429.73"/>
    <s v="Completed"/>
    <n v="2429.73"/>
    <n v="2339.7400000000002"/>
    <x v="4"/>
    <n v="-2339.7400000000002"/>
    <n v="0.96296296296296302"/>
    <n v="89.99"/>
    <s v="Large"/>
    <s v="High"/>
  </r>
  <r>
    <s v="ORD-0349"/>
    <s v="2025-05-13"/>
    <x v="2"/>
    <x v="1"/>
    <x v="13"/>
    <x v="3"/>
    <n v="19"/>
    <n v="59.99"/>
    <n v="1139.81"/>
    <n v="0"/>
    <n v="1139.81"/>
    <s v="Completed"/>
    <n v="1139.81"/>
    <n v="1079.82"/>
    <x v="4"/>
    <n v="-1079.82"/>
    <n v="0.94736842105263153"/>
    <n v="59.989999999999995"/>
    <s v="Large"/>
    <s v="High"/>
  </r>
  <r>
    <s v="ORD-0056"/>
    <s v="2025-05-15"/>
    <x v="7"/>
    <x v="2"/>
    <x v="2"/>
    <x v="2"/>
    <n v="9"/>
    <n v="29.99"/>
    <n v="269.90999999999997"/>
    <n v="10"/>
    <n v="242.91899999999998"/>
    <s v="Pending"/>
    <n v="269.90999999999997"/>
    <n v="239.91999999999996"/>
    <x v="4"/>
    <n v="-212.92899999999997"/>
    <n v="0.98765432098765427"/>
    <n v="26.991"/>
    <s v="Small"/>
    <s v="High"/>
  </r>
  <r>
    <s v="ORD-0492"/>
    <s v="2025-05-16"/>
    <x v="7"/>
    <x v="2"/>
    <x v="7"/>
    <x v="3"/>
    <n v="9"/>
    <n v="49.99"/>
    <n v="449.91"/>
    <n v="0"/>
    <n v="449.91"/>
    <s v="Completed"/>
    <n v="449.91"/>
    <n v="399.92"/>
    <x v="4"/>
    <n v="-399.92"/>
    <n v="0.88888888888888884"/>
    <n v="49.99"/>
    <s v="Small"/>
    <s v="Low"/>
  </r>
  <r>
    <s v="ORD-0449"/>
    <s v="2025-05-18"/>
    <x v="2"/>
    <x v="1"/>
    <x v="9"/>
    <x v="0"/>
    <n v="14"/>
    <n v="549"/>
    <n v="7686"/>
    <n v="15"/>
    <n v="6533.0999999999995"/>
    <s v="Completed"/>
    <n v="7686"/>
    <n v="7137"/>
    <x v="4"/>
    <n v="-5984.0999999999995"/>
    <n v="1.0924369747899161"/>
    <n v="466.65"/>
    <s v="Large"/>
    <s v="Low"/>
  </r>
  <r>
    <s v="ORD-0216"/>
    <s v="2025-05-19"/>
    <x v="5"/>
    <x v="0"/>
    <x v="16"/>
    <x v="1"/>
    <n v="4"/>
    <n v="599"/>
    <n v="2396"/>
    <n v="5"/>
    <n v="2276.1999999999998"/>
    <s v="Completed"/>
    <n v="2396"/>
    <n v="1797"/>
    <x v="4"/>
    <n v="-1677.1999999999998"/>
    <n v="0.78947368421052633"/>
    <n v="569.04999999999995"/>
    <s v="Small"/>
    <s v="High"/>
  </r>
  <r>
    <s v="ORD-0319"/>
    <s v="2025-05-19"/>
    <x v="5"/>
    <x v="0"/>
    <x v="14"/>
    <x v="3"/>
    <n v="16"/>
    <n v="299"/>
    <n v="4784"/>
    <n v="0"/>
    <n v="4784"/>
    <s v="Completed"/>
    <n v="4784"/>
    <n v="4485"/>
    <x v="4"/>
    <n v="-4485"/>
    <n v="0.9375"/>
    <n v="299"/>
    <s v="Large"/>
    <s v="High"/>
  </r>
  <r>
    <s v="ORD-0335"/>
    <s v="2025-05-21"/>
    <x v="7"/>
    <x v="2"/>
    <x v="4"/>
    <x v="0"/>
    <n v="25"/>
    <n v="299"/>
    <n v="7475"/>
    <n v="0"/>
    <n v="7475"/>
    <s v="Completed"/>
    <n v="7475"/>
    <n v="7176"/>
    <x v="4"/>
    <n v="-7176"/>
    <n v="0.96"/>
    <n v="299"/>
    <s v="Large"/>
    <s v="High"/>
  </r>
  <r>
    <s v="ORD-0467"/>
    <s v="2025-05-21"/>
    <x v="9"/>
    <x v="1"/>
    <x v="7"/>
    <x v="3"/>
    <n v="1"/>
    <n v="49.99"/>
    <n v="49.99"/>
    <n v="10"/>
    <n v="44.991"/>
    <s v="Pending"/>
    <n v="49.99"/>
    <n v="0"/>
    <x v="4"/>
    <n v="4.9990000000000023"/>
    <n v="0"/>
    <n v="44.991"/>
    <s v="Small"/>
    <s v="High"/>
  </r>
  <r>
    <s v="ORD-0298"/>
    <s v="2025-05-22"/>
    <x v="2"/>
    <x v="1"/>
    <x v="9"/>
    <x v="0"/>
    <n v="6"/>
    <n v="549"/>
    <n v="3294"/>
    <n v="5"/>
    <n v="3129.2999999999997"/>
    <s v="Completed"/>
    <n v="3294"/>
    <n v="2745"/>
    <x v="4"/>
    <n v="-2580.2999999999997"/>
    <n v="0.87719298245614041"/>
    <n v="521.54999999999995"/>
    <s v="Small"/>
    <s v="Low"/>
  </r>
  <r>
    <s v="ORD-0379"/>
    <s v="2025-05-24"/>
    <x v="2"/>
    <x v="1"/>
    <x v="4"/>
    <x v="0"/>
    <n v="5"/>
    <n v="299"/>
    <n v="1495"/>
    <n v="15"/>
    <n v="1270.75"/>
    <s v="Completed"/>
    <n v="1495"/>
    <n v="1196"/>
    <x v="4"/>
    <n v="-971.75"/>
    <n v="0.94117647058823528"/>
    <n v="254.15"/>
    <s v="Small"/>
    <s v="High"/>
  </r>
  <r>
    <s v="ORD-0441"/>
    <s v="2025-05-24"/>
    <x v="3"/>
    <x v="2"/>
    <x v="0"/>
    <x v="0"/>
    <n v="7"/>
    <n v="129"/>
    <n v="903"/>
    <n v="0"/>
    <n v="903"/>
    <s v="Completed"/>
    <n v="903"/>
    <n v="774"/>
    <x v="4"/>
    <n v="-774"/>
    <n v="0.8571428571428571"/>
    <n v="129"/>
    <s v="Small"/>
    <s v="High"/>
  </r>
  <r>
    <s v="ORD-0177"/>
    <s v="2025-05-29"/>
    <x v="5"/>
    <x v="0"/>
    <x v="2"/>
    <x v="2"/>
    <n v="15"/>
    <n v="29.99"/>
    <n v="449.84999999999997"/>
    <n v="15"/>
    <n v="382.37249999999995"/>
    <s v="Completed"/>
    <n v="449.84999999999997"/>
    <n v="419.85999999999996"/>
    <x v="4"/>
    <n v="-352.38249999999994"/>
    <n v="1.0980392156862746"/>
    <n v="25.491499999999995"/>
    <s v="Large"/>
    <s v="Low"/>
  </r>
  <r>
    <s v="ORD-0226"/>
    <s v="2025-05-29"/>
    <x v="0"/>
    <x v="0"/>
    <x v="20"/>
    <x v="0"/>
    <n v="1"/>
    <n v="169"/>
    <n v="169"/>
    <n v="5"/>
    <n v="160.54999999999998"/>
    <s v="Completed"/>
    <n v="169"/>
    <n v="0"/>
    <x v="4"/>
    <n v="8.4500000000000171"/>
    <n v="0"/>
    <n v="160.54999999999998"/>
    <s v="Small"/>
    <s v="Low"/>
  </r>
  <r>
    <s v="ORD-0498"/>
    <s v="2025-05-30"/>
    <x v="4"/>
    <x v="3"/>
    <x v="11"/>
    <x v="2"/>
    <n v="9"/>
    <n v="49.99"/>
    <n v="449.91"/>
    <n v="12"/>
    <n v="395.92080000000004"/>
    <s v="Completed"/>
    <n v="449.91"/>
    <n v="399.92"/>
    <x v="4"/>
    <n v="-345.93080000000003"/>
    <n v="1.0101010101010099"/>
    <n v="43.991200000000006"/>
    <s v="Small"/>
    <s v="Low"/>
  </r>
  <r>
    <s v="ORD-0385"/>
    <s v="2025-06-01"/>
    <x v="5"/>
    <x v="0"/>
    <x v="15"/>
    <x v="1"/>
    <n v="17"/>
    <n v="149.99"/>
    <n v="2549.83"/>
    <n v="10"/>
    <n v="2294.8470000000002"/>
    <s v="Pending"/>
    <n v="2549.83"/>
    <n v="2399.84"/>
    <x v="5"/>
    <n v="-2144.857"/>
    <n v="1.0457516339869282"/>
    <n v="134.99100000000001"/>
    <s v="Large"/>
    <s v="Low"/>
  </r>
  <r>
    <s v="ORD-0180"/>
    <s v="2025-06-02"/>
    <x v="4"/>
    <x v="3"/>
    <x v="18"/>
    <x v="3"/>
    <n v="10"/>
    <n v="99"/>
    <n v="990"/>
    <n v="12"/>
    <n v="871.2"/>
    <s v="Completed"/>
    <n v="990"/>
    <n v="891"/>
    <x v="5"/>
    <n v="-772.2"/>
    <n v="1.0227272727272727"/>
    <n v="87.12"/>
    <s v="Large"/>
    <s v="High"/>
  </r>
  <r>
    <s v="ORD-0127"/>
    <s v="2025-06-06"/>
    <x v="1"/>
    <x v="1"/>
    <x v="21"/>
    <x v="2"/>
    <n v="21"/>
    <n v="79.989999999999995"/>
    <n v="1679.79"/>
    <n v="12"/>
    <n v="1478.2151999999999"/>
    <s v="Completed"/>
    <n v="1679.79"/>
    <n v="1599.8"/>
    <x v="5"/>
    <n v="-1398.2251999999999"/>
    <n v="1.0822510822510822"/>
    <n v="70.391199999999998"/>
    <s v="Large"/>
    <s v="Low"/>
  </r>
  <r>
    <s v="ORD-0350"/>
    <s v="2025-06-06"/>
    <x v="2"/>
    <x v="1"/>
    <x v="1"/>
    <x v="1"/>
    <n v="27"/>
    <n v="999"/>
    <n v="26973"/>
    <n v="0"/>
    <n v="26973"/>
    <s v="Completed"/>
    <n v="26973"/>
    <n v="25974"/>
    <x v="5"/>
    <n v="-25974"/>
    <n v="0.96296296296296291"/>
    <n v="999"/>
    <s v="Large"/>
    <s v="High"/>
  </r>
  <r>
    <s v="ORD-0419"/>
    <s v="2025-06-06"/>
    <x v="3"/>
    <x v="2"/>
    <x v="2"/>
    <x v="2"/>
    <n v="5"/>
    <n v="29.99"/>
    <n v="149.94999999999999"/>
    <n v="12"/>
    <n v="131.95599999999999"/>
    <s v="Completed"/>
    <n v="149.94999999999999"/>
    <n v="119.96"/>
    <x v="5"/>
    <n v="-101.96599999999999"/>
    <n v="0.90909090909090917"/>
    <n v="26.391199999999998"/>
    <s v="Small"/>
    <s v="High"/>
  </r>
  <r>
    <s v="ORD-0290"/>
    <s v="2025-06-08"/>
    <x v="5"/>
    <x v="0"/>
    <x v="10"/>
    <x v="1"/>
    <n v="8"/>
    <n v="249"/>
    <n v="1992"/>
    <n v="0"/>
    <n v="1992"/>
    <s v="Completed"/>
    <n v="1992"/>
    <n v="1743"/>
    <x v="5"/>
    <n v="-1743"/>
    <n v="0.875"/>
    <n v="249"/>
    <s v="Small"/>
    <s v="Low"/>
  </r>
  <r>
    <s v="ORD-0152"/>
    <s v="2025-06-10"/>
    <x v="3"/>
    <x v="2"/>
    <x v="17"/>
    <x v="2"/>
    <n v="22"/>
    <n v="89.99"/>
    <n v="1979.78"/>
    <n v="0"/>
    <n v="1979.78"/>
    <s v="Completed"/>
    <n v="1979.78"/>
    <n v="1889.79"/>
    <x v="5"/>
    <n v="-1889.79"/>
    <n v="0.95454545454545459"/>
    <n v="89.99"/>
    <s v="Large"/>
    <s v="High"/>
  </r>
  <r>
    <s v="ORD-0025"/>
    <s v="2025-06-11"/>
    <x v="7"/>
    <x v="2"/>
    <x v="16"/>
    <x v="1"/>
    <n v="10"/>
    <n v="599"/>
    <n v="5990"/>
    <n v="10"/>
    <n v="5391"/>
    <s v="Completed"/>
    <n v="5990"/>
    <n v="5391"/>
    <x v="5"/>
    <n v="-4792"/>
    <n v="1"/>
    <n v="539.1"/>
    <s v="Large"/>
    <s v="High"/>
  </r>
  <r>
    <s v="ORD-0300"/>
    <s v="2025-06-14"/>
    <x v="2"/>
    <x v="1"/>
    <x v="16"/>
    <x v="1"/>
    <n v="10"/>
    <n v="599"/>
    <n v="5990"/>
    <n v="0"/>
    <n v="5990"/>
    <s v="Completed"/>
    <n v="5990"/>
    <n v="5391"/>
    <x v="5"/>
    <n v="-5391"/>
    <n v="0.9"/>
    <n v="599"/>
    <s v="Large"/>
    <s v="High"/>
  </r>
  <r>
    <s v="ORD-0121"/>
    <s v="2025-06-17"/>
    <x v="7"/>
    <x v="2"/>
    <x v="15"/>
    <x v="1"/>
    <n v="20"/>
    <n v="149.99"/>
    <n v="2999.8"/>
    <n v="0"/>
    <n v="2999.8"/>
    <s v="Completed"/>
    <n v="2999.8"/>
    <n v="2849.8100000000004"/>
    <x v="5"/>
    <n v="-2849.8100000000004"/>
    <n v="0.95000000000000007"/>
    <n v="149.99"/>
    <s v="Large"/>
    <s v="High"/>
  </r>
  <r>
    <s v="ORD-0497"/>
    <s v="2025-06-23"/>
    <x v="2"/>
    <x v="1"/>
    <x v="15"/>
    <x v="1"/>
    <n v="22"/>
    <n v="149.99"/>
    <n v="3299.78"/>
    <n v="10"/>
    <n v="2969.8020000000001"/>
    <s v="Completed"/>
    <n v="3299.78"/>
    <n v="3149.79"/>
    <x v="5"/>
    <n v="-2819.8119999999999"/>
    <n v="1.0606060606060606"/>
    <n v="134.99100000000001"/>
    <s v="Large"/>
    <s v="High"/>
  </r>
  <r>
    <s v="ORD-0014"/>
    <s v="2025-06-25"/>
    <x v="4"/>
    <x v="3"/>
    <x v="14"/>
    <x v="3"/>
    <n v="30"/>
    <n v="299"/>
    <n v="8970"/>
    <n v="0"/>
    <n v="8970"/>
    <s v="Completed"/>
    <n v="8970"/>
    <n v="8671"/>
    <x v="5"/>
    <n v="-8671"/>
    <n v="0.96666666666666667"/>
    <n v="299"/>
    <s v="Large"/>
    <s v="High"/>
  </r>
  <r>
    <s v="ORD-0354"/>
    <s v="2025-06-25"/>
    <x v="0"/>
    <x v="0"/>
    <x v="19"/>
    <x v="0"/>
    <n v="19"/>
    <n v="199"/>
    <n v="3781"/>
    <n v="0"/>
    <n v="3781"/>
    <s v="Pending"/>
    <n v="3781"/>
    <n v="3582"/>
    <x v="5"/>
    <n v="-3582"/>
    <n v="0.94736842105263153"/>
    <n v="199"/>
    <s v="Large"/>
    <s v="High"/>
  </r>
  <r>
    <s v="ORD-0390"/>
    <s v="2025-06-27"/>
    <x v="5"/>
    <x v="0"/>
    <x v="24"/>
    <x v="0"/>
    <n v="13"/>
    <n v="39.99"/>
    <n v="519.87"/>
    <n v="8"/>
    <n v="478.28040000000004"/>
    <s v="Completed"/>
    <n v="519.87"/>
    <n v="479.88"/>
    <x v="5"/>
    <n v="-438.29040000000003"/>
    <n v="1.0033444816053512"/>
    <n v="36.790800000000004"/>
    <s v="Large"/>
    <s v="High"/>
  </r>
  <r>
    <s v="ORD-0318"/>
    <s v="2025-06-29"/>
    <x v="9"/>
    <x v="1"/>
    <x v="21"/>
    <x v="2"/>
    <n v="18"/>
    <n v="79.989999999999995"/>
    <n v="1439.82"/>
    <n v="8"/>
    <n v="1324.6343999999999"/>
    <s v="Cancelled"/>
    <n v="1439.82"/>
    <n v="1359.83"/>
    <x v="5"/>
    <n v="-1244.6443999999999"/>
    <n v="1.0265700483091789"/>
    <n v="73.590800000000002"/>
    <s v="Large"/>
    <s v="Low"/>
  </r>
  <r>
    <s v="ORD-0411"/>
    <s v="2025-06-29"/>
    <x v="7"/>
    <x v="2"/>
    <x v="11"/>
    <x v="2"/>
    <n v="19"/>
    <n v="49.99"/>
    <n v="949.81000000000006"/>
    <n v="5"/>
    <n v="902.31950000000006"/>
    <s v="Completed"/>
    <n v="949.81000000000006"/>
    <n v="899.82"/>
    <x v="5"/>
    <n v="-852.32950000000005"/>
    <n v="0.99722991689750695"/>
    <n v="47.490500000000004"/>
    <s v="Large"/>
    <s v="High"/>
  </r>
  <r>
    <s v="ORD-0444"/>
    <s v="2025-06-29"/>
    <x v="4"/>
    <x v="3"/>
    <x v="17"/>
    <x v="2"/>
    <n v="2"/>
    <n v="89.99"/>
    <n v="179.98"/>
    <n v="15"/>
    <n v="152.98299999999998"/>
    <s v="Pending"/>
    <n v="179.98"/>
    <n v="89.99"/>
    <x v="5"/>
    <n v="-62.992999999999981"/>
    <n v="0.58823529411764708"/>
    <n v="76.491499999999988"/>
    <s v="Small"/>
    <s v="Low"/>
  </r>
  <r>
    <s v="ORD-0072"/>
    <s v="2025-07-01"/>
    <x v="0"/>
    <x v="0"/>
    <x v="2"/>
    <x v="2"/>
    <n v="28"/>
    <n v="29.99"/>
    <n v="839.71999999999991"/>
    <n v="0"/>
    <n v="839.71999999999991"/>
    <s v="Completed"/>
    <n v="839.71999999999991"/>
    <n v="809.7299999999999"/>
    <x v="6"/>
    <n v="-809.7299999999999"/>
    <n v="0.9642857142857143"/>
    <n v="29.99"/>
    <s v="Large"/>
    <s v="Low"/>
  </r>
  <r>
    <s v="ORD-0271"/>
    <s v="2025-07-01"/>
    <x v="0"/>
    <x v="0"/>
    <x v="20"/>
    <x v="0"/>
    <n v="5"/>
    <n v="169"/>
    <n v="845"/>
    <n v="0"/>
    <n v="845"/>
    <s v="Cancelled"/>
    <n v="845"/>
    <n v="676"/>
    <x v="6"/>
    <n v="-676"/>
    <n v="0.8"/>
    <n v="169"/>
    <s v="Small"/>
    <s v="Low"/>
  </r>
  <r>
    <s v="ORD-0142"/>
    <s v="2025-07-03"/>
    <x v="3"/>
    <x v="2"/>
    <x v="11"/>
    <x v="2"/>
    <n v="8"/>
    <n v="49.99"/>
    <n v="399.92"/>
    <n v="8"/>
    <n v="367.92640000000006"/>
    <s v="Completed"/>
    <n v="399.92"/>
    <n v="349.93"/>
    <x v="6"/>
    <n v="-317.93640000000005"/>
    <n v="0.95108695652173902"/>
    <n v="45.990800000000007"/>
    <s v="Small"/>
    <s v="Low"/>
  </r>
  <r>
    <s v="ORD-0472"/>
    <s v="2025-07-03"/>
    <x v="2"/>
    <x v="1"/>
    <x v="14"/>
    <x v="3"/>
    <n v="22"/>
    <n v="299"/>
    <n v="6578"/>
    <n v="10"/>
    <n v="5920.2"/>
    <s v="Completed"/>
    <n v="6578"/>
    <n v="6279"/>
    <x v="6"/>
    <n v="-5621.2"/>
    <n v="1.0606060606060606"/>
    <n v="269.09999999999997"/>
    <s v="Large"/>
    <s v="Low"/>
  </r>
  <r>
    <s v="ORD-0193"/>
    <s v="2025-07-04"/>
    <x v="0"/>
    <x v="0"/>
    <x v="2"/>
    <x v="2"/>
    <n v="17"/>
    <n v="29.99"/>
    <n v="509.83"/>
    <n v="10"/>
    <n v="458.84699999999998"/>
    <s v="Completed"/>
    <n v="509.83"/>
    <n v="479.84"/>
    <x v="6"/>
    <n v="-428.85699999999997"/>
    <n v="1.0457516339869282"/>
    <n v="26.991"/>
    <s v="Large"/>
    <s v="High"/>
  </r>
  <r>
    <s v="ORD-0113"/>
    <s v="2025-07-06"/>
    <x v="1"/>
    <x v="1"/>
    <x v="22"/>
    <x v="1"/>
    <n v="28"/>
    <n v="79.989999999999995"/>
    <n v="2239.7199999999998"/>
    <n v="12"/>
    <n v="1970.9535999999998"/>
    <s v="Completed"/>
    <n v="2239.7199999999998"/>
    <n v="2159.73"/>
    <x v="6"/>
    <n v="-1890.9635999999998"/>
    <n v="1.095779220779221"/>
    <n v="70.391199999999998"/>
    <s v="Large"/>
    <s v="Low"/>
  </r>
  <r>
    <s v="ORD-0052"/>
    <s v="2025-07-10"/>
    <x v="0"/>
    <x v="0"/>
    <x v="1"/>
    <x v="1"/>
    <n v="17"/>
    <n v="999"/>
    <n v="16983"/>
    <n v="0"/>
    <n v="16983"/>
    <s v="Completed"/>
    <n v="16983"/>
    <n v="15984"/>
    <x v="6"/>
    <n v="-15984"/>
    <n v="0.94117647058823528"/>
    <n v="999"/>
    <s v="Large"/>
    <s v="High"/>
  </r>
  <r>
    <s v="ORD-0410"/>
    <s v="2025-07-10"/>
    <x v="0"/>
    <x v="0"/>
    <x v="18"/>
    <x v="3"/>
    <n v="15"/>
    <n v="99"/>
    <n v="1485"/>
    <n v="5"/>
    <n v="1410.75"/>
    <s v="Completed"/>
    <n v="1485"/>
    <n v="1386"/>
    <x v="6"/>
    <n v="-1311.75"/>
    <n v="0.98245614035087714"/>
    <n v="94.05"/>
    <s v="Large"/>
    <s v="High"/>
  </r>
  <r>
    <s v="ORD-0313"/>
    <s v="2025-07-11"/>
    <x v="6"/>
    <x v="3"/>
    <x v="21"/>
    <x v="2"/>
    <n v="8"/>
    <n v="79.989999999999995"/>
    <n v="639.91999999999996"/>
    <n v="10"/>
    <n v="575.928"/>
    <s v="Pending"/>
    <n v="639.91999999999996"/>
    <n v="559.92999999999995"/>
    <x v="6"/>
    <n v="-495.93799999999999"/>
    <n v="0.9722222222222221"/>
    <n v="71.991"/>
    <s v="Small"/>
    <s v="High"/>
  </r>
  <r>
    <s v="ORD-0322"/>
    <s v="2025-07-15"/>
    <x v="2"/>
    <x v="1"/>
    <x v="23"/>
    <x v="0"/>
    <n v="9"/>
    <n v="449"/>
    <n v="4041"/>
    <n v="0"/>
    <n v="4041"/>
    <s v="Completed"/>
    <n v="4041"/>
    <n v="3592"/>
    <x v="6"/>
    <n v="-3592"/>
    <n v="0.88888888888888884"/>
    <n v="449"/>
    <s v="Small"/>
    <s v="Low"/>
  </r>
  <r>
    <s v="ORD-0386"/>
    <s v="2025-07-15"/>
    <x v="3"/>
    <x v="2"/>
    <x v="1"/>
    <x v="1"/>
    <n v="19"/>
    <n v="999"/>
    <n v="18981"/>
    <n v="0"/>
    <n v="18981"/>
    <s v="Completed"/>
    <n v="18981"/>
    <n v="17982"/>
    <x v="6"/>
    <n v="-17982"/>
    <n v="0.94736842105263153"/>
    <n v="999"/>
    <s v="Large"/>
    <s v="High"/>
  </r>
  <r>
    <s v="ORD-0010"/>
    <s v="2025-07-16"/>
    <x v="4"/>
    <x v="3"/>
    <x v="13"/>
    <x v="3"/>
    <n v="20"/>
    <n v="59.99"/>
    <n v="1199.8"/>
    <n v="8"/>
    <n v="1103.816"/>
    <s v="Pending"/>
    <n v="1199.8"/>
    <n v="1139.81"/>
    <x v="6"/>
    <n v="-1043.826"/>
    <n v="1.0326086956521738"/>
    <n v="55.190800000000003"/>
    <s v="Large"/>
    <s v="High"/>
  </r>
  <r>
    <s v="ORD-0140"/>
    <s v="2025-07-16"/>
    <x v="2"/>
    <x v="1"/>
    <x v="7"/>
    <x v="3"/>
    <n v="23"/>
    <n v="49.99"/>
    <n v="1149.77"/>
    <n v="0"/>
    <n v="1149.77"/>
    <s v="Completed"/>
    <n v="1149.77"/>
    <n v="1099.78"/>
    <x v="6"/>
    <n v="-1099.78"/>
    <n v="0.95652173913043481"/>
    <n v="49.99"/>
    <s v="Large"/>
    <s v="High"/>
  </r>
  <r>
    <s v="ORD-0473"/>
    <s v="2025-07-16"/>
    <x v="8"/>
    <x v="3"/>
    <x v="24"/>
    <x v="0"/>
    <n v="5"/>
    <n v="39.99"/>
    <n v="199.95000000000002"/>
    <n v="5"/>
    <n v="189.95250000000001"/>
    <s v="Completed"/>
    <n v="199.95000000000002"/>
    <n v="159.96"/>
    <x v="6"/>
    <n v="-149.96250000000001"/>
    <n v="0.84210526315789469"/>
    <n v="37.990500000000004"/>
    <s v="Small"/>
    <s v="High"/>
  </r>
  <r>
    <s v="ORD-0296"/>
    <s v="2025-07-18"/>
    <x v="3"/>
    <x v="2"/>
    <x v="11"/>
    <x v="2"/>
    <n v="26"/>
    <n v="49.99"/>
    <n v="1299.74"/>
    <n v="12"/>
    <n v="1143.7711999999999"/>
    <s v="Completed"/>
    <n v="1299.74"/>
    <n v="1249.75"/>
    <x v="6"/>
    <n v="-1093.7811999999999"/>
    <n v="1.0926573426573427"/>
    <n v="43.991199999999999"/>
    <s v="Large"/>
    <s v="Low"/>
  </r>
  <r>
    <s v="ORD-0082"/>
    <s v="2025-07-21"/>
    <x v="1"/>
    <x v="1"/>
    <x v="8"/>
    <x v="1"/>
    <n v="17"/>
    <n v="1299"/>
    <n v="22083"/>
    <n v="15"/>
    <n v="18770.55"/>
    <s v="Completed"/>
    <n v="22083"/>
    <n v="20784"/>
    <x v="6"/>
    <n v="-17471.55"/>
    <n v="1.1072664359861593"/>
    <n v="1104.1499999999999"/>
    <s v="Large"/>
    <s v="High"/>
  </r>
  <r>
    <s v="ORD-0004"/>
    <s v="2025-07-23"/>
    <x v="2"/>
    <x v="1"/>
    <x v="20"/>
    <x v="0"/>
    <n v="1"/>
    <n v="169"/>
    <n v="169"/>
    <n v="15"/>
    <n v="143.65"/>
    <s v="Pending"/>
    <n v="169"/>
    <n v="0"/>
    <x v="6"/>
    <n v="25.349999999999994"/>
    <n v="0"/>
    <n v="143.65"/>
    <s v="Small"/>
    <s v="High"/>
  </r>
  <r>
    <s v="ORD-0118"/>
    <s v="2025-07-24"/>
    <x v="9"/>
    <x v="1"/>
    <x v="7"/>
    <x v="3"/>
    <n v="1"/>
    <n v="49.99"/>
    <n v="49.99"/>
    <n v="5"/>
    <n v="47.490499999999997"/>
    <s v="Completed"/>
    <n v="49.99"/>
    <n v="0"/>
    <x v="6"/>
    <n v="2.4995000000000047"/>
    <n v="0"/>
    <n v="47.490499999999997"/>
    <s v="Small"/>
    <s v="Low"/>
  </r>
  <r>
    <s v="ORD-0339"/>
    <s v="2025-07-24"/>
    <x v="6"/>
    <x v="3"/>
    <x v="11"/>
    <x v="2"/>
    <n v="23"/>
    <n v="49.99"/>
    <n v="1149.77"/>
    <n v="12"/>
    <n v="1011.7976"/>
    <s v="Completed"/>
    <n v="1149.77"/>
    <n v="1099.78"/>
    <x v="6"/>
    <n v="-961.80759999999998"/>
    <n v="1.0869565217391304"/>
    <n v="43.991199999999999"/>
    <s v="Large"/>
    <s v="Low"/>
  </r>
  <r>
    <s v="ORD-0360"/>
    <s v="2025-07-28"/>
    <x v="5"/>
    <x v="0"/>
    <x v="9"/>
    <x v="0"/>
    <n v="16"/>
    <n v="549"/>
    <n v="8784"/>
    <n v="12"/>
    <n v="7729.92"/>
    <s v="Completed"/>
    <n v="8784"/>
    <n v="8235"/>
    <x v="6"/>
    <n v="-7180.92"/>
    <n v="1.0653409090909092"/>
    <n v="483.12"/>
    <s v="Large"/>
    <s v="High"/>
  </r>
  <r>
    <s v="ORD-0151"/>
    <s v="2025-08-01"/>
    <x v="6"/>
    <x v="3"/>
    <x v="1"/>
    <x v="1"/>
    <n v="20"/>
    <n v="999"/>
    <n v="19980"/>
    <n v="0"/>
    <n v="19980"/>
    <s v="Pending"/>
    <n v="19980"/>
    <n v="18981"/>
    <x v="7"/>
    <n v="-18981"/>
    <n v="0.95"/>
    <n v="999"/>
    <s v="Large"/>
    <s v="High"/>
  </r>
  <r>
    <s v="ORD-0013"/>
    <s v="2025-08-03"/>
    <x v="7"/>
    <x v="2"/>
    <x v="15"/>
    <x v="1"/>
    <n v="12"/>
    <n v="149.99"/>
    <n v="1799.88"/>
    <n v="8"/>
    <n v="1655.8896000000002"/>
    <s v="Pending"/>
    <n v="1799.88"/>
    <n v="1649.89"/>
    <x v="7"/>
    <n v="-1505.8996000000002"/>
    <n v="0.99637681159420288"/>
    <n v="137.99080000000001"/>
    <s v="Large"/>
    <s v="High"/>
  </r>
  <r>
    <s v="ORD-0063"/>
    <s v="2025-08-04"/>
    <x v="2"/>
    <x v="1"/>
    <x v="22"/>
    <x v="1"/>
    <n v="9"/>
    <n v="79.989999999999995"/>
    <n v="719.91"/>
    <n v="5"/>
    <n v="683.91449999999998"/>
    <s v="Pending"/>
    <n v="719.91"/>
    <n v="639.91999999999996"/>
    <x v="7"/>
    <n v="-603.92449999999997"/>
    <n v="0.93567251461988299"/>
    <n v="75.990499999999997"/>
    <s v="Small"/>
    <s v="High"/>
  </r>
  <r>
    <s v="ORD-0087"/>
    <s v="2025-08-04"/>
    <x v="2"/>
    <x v="1"/>
    <x v="8"/>
    <x v="1"/>
    <n v="10"/>
    <n v="1299"/>
    <n v="12990"/>
    <n v="5"/>
    <n v="12340.5"/>
    <s v="Completed"/>
    <n v="12990"/>
    <n v="11691"/>
    <x v="7"/>
    <n v="-11041.5"/>
    <n v="0.94736842105263153"/>
    <n v="1234.05"/>
    <s v="Large"/>
    <s v="Low"/>
  </r>
  <r>
    <s v="ORD-0356"/>
    <s v="2025-08-04"/>
    <x v="8"/>
    <x v="3"/>
    <x v="1"/>
    <x v="1"/>
    <n v="21"/>
    <n v="999"/>
    <n v="20979"/>
    <n v="5"/>
    <n v="19930.05"/>
    <s v="Cancelled"/>
    <n v="20979"/>
    <n v="19980"/>
    <x v="7"/>
    <n v="-18931.05"/>
    <n v="1.0025062656641603"/>
    <n v="949.05"/>
    <s v="Large"/>
    <s v="High"/>
  </r>
  <r>
    <s v="ORD-0454"/>
    <s v="2025-08-05"/>
    <x v="3"/>
    <x v="2"/>
    <x v="6"/>
    <x v="2"/>
    <n v="10"/>
    <n v="59.99"/>
    <n v="599.9"/>
    <n v="0"/>
    <n v="599.9"/>
    <s v="Completed"/>
    <n v="599.9"/>
    <n v="539.91"/>
    <x v="7"/>
    <n v="-539.91"/>
    <n v="0.9"/>
    <n v="59.989999999999995"/>
    <s v="Large"/>
    <s v="High"/>
  </r>
  <r>
    <s v="ORD-0132"/>
    <s v="2025-08-06"/>
    <x v="5"/>
    <x v="0"/>
    <x v="6"/>
    <x v="2"/>
    <n v="6"/>
    <n v="59.99"/>
    <n v="359.94"/>
    <n v="12"/>
    <n v="316.74720000000002"/>
    <s v="Completed"/>
    <n v="359.94"/>
    <n v="299.95"/>
    <x v="7"/>
    <n v="-256.75720000000001"/>
    <n v="0.94696969696969691"/>
    <n v="52.791200000000003"/>
    <s v="Small"/>
    <s v="Low"/>
  </r>
  <r>
    <s v="ORD-0058"/>
    <s v="2025-08-07"/>
    <x v="6"/>
    <x v="3"/>
    <x v="19"/>
    <x v="0"/>
    <n v="4"/>
    <n v="199"/>
    <n v="796"/>
    <n v="0"/>
    <n v="796"/>
    <s v="Completed"/>
    <n v="796"/>
    <n v="597"/>
    <x v="7"/>
    <n v="-597"/>
    <n v="0.75"/>
    <n v="199"/>
    <s v="Small"/>
    <s v="Low"/>
  </r>
  <r>
    <s v="ORD-0039"/>
    <s v="2025-08-08"/>
    <x v="2"/>
    <x v="1"/>
    <x v="2"/>
    <x v="2"/>
    <n v="9"/>
    <n v="29.99"/>
    <n v="269.90999999999997"/>
    <n v="12"/>
    <n v="237.52079999999998"/>
    <s v="Completed"/>
    <n v="269.90999999999997"/>
    <n v="239.91999999999996"/>
    <x v="7"/>
    <n v="-207.53079999999997"/>
    <n v="1.0101010101010099"/>
    <n v="26.391199999999998"/>
    <s v="Small"/>
    <s v="Low"/>
  </r>
  <r>
    <s v="ORD-0104"/>
    <s v="2025-08-08"/>
    <x v="0"/>
    <x v="0"/>
    <x v="2"/>
    <x v="2"/>
    <n v="13"/>
    <n v="29.99"/>
    <n v="389.87"/>
    <n v="0"/>
    <n v="389.87"/>
    <s v="Completed"/>
    <n v="389.87"/>
    <n v="359.88"/>
    <x v="7"/>
    <n v="-359.88"/>
    <n v="0.92307692307692302"/>
    <n v="29.990000000000002"/>
    <s v="Large"/>
    <s v="Low"/>
  </r>
  <r>
    <s v="ORD-0289"/>
    <s v="2025-08-08"/>
    <x v="9"/>
    <x v="1"/>
    <x v="21"/>
    <x v="2"/>
    <n v="10"/>
    <n v="79.989999999999995"/>
    <n v="799.9"/>
    <n v="0"/>
    <n v="799.9"/>
    <s v="Completed"/>
    <n v="799.9"/>
    <n v="719.91"/>
    <x v="7"/>
    <n v="-719.91"/>
    <n v="0.9"/>
    <n v="79.989999999999995"/>
    <s v="Large"/>
    <s v="Low"/>
  </r>
  <r>
    <s v="ORD-0397"/>
    <s v="2025-08-08"/>
    <x v="5"/>
    <x v="0"/>
    <x v="13"/>
    <x v="3"/>
    <n v="9"/>
    <n v="59.99"/>
    <n v="539.91"/>
    <n v="12"/>
    <n v="475.12079999999997"/>
    <s v="Completed"/>
    <n v="539.91"/>
    <n v="479.91999999999996"/>
    <x v="7"/>
    <n v="-415.13079999999997"/>
    <n v="1.0101010101010102"/>
    <n v="52.791199999999996"/>
    <s v="Small"/>
    <s v="Low"/>
  </r>
  <r>
    <s v="ORD-0238"/>
    <s v="2025-08-09"/>
    <x v="1"/>
    <x v="1"/>
    <x v="16"/>
    <x v="1"/>
    <n v="26"/>
    <n v="599"/>
    <n v="15574"/>
    <n v="0"/>
    <n v="15574"/>
    <s v="Completed"/>
    <n v="15574"/>
    <n v="14975"/>
    <x v="7"/>
    <n v="-14975"/>
    <n v="0.96153846153846156"/>
    <n v="599"/>
    <s v="Large"/>
    <s v="Low"/>
  </r>
  <r>
    <s v="ORD-0307"/>
    <s v="2025-08-09"/>
    <x v="9"/>
    <x v="1"/>
    <x v="5"/>
    <x v="1"/>
    <n v="1"/>
    <n v="399"/>
    <n v="399"/>
    <n v="5"/>
    <n v="379.04999999999995"/>
    <s v="Completed"/>
    <n v="399"/>
    <n v="0"/>
    <x v="7"/>
    <n v="19.950000000000045"/>
    <n v="0"/>
    <n v="379.04999999999995"/>
    <s v="Small"/>
    <s v="High"/>
  </r>
  <r>
    <s v="ORD-0219"/>
    <s v="2025-08-11"/>
    <x v="1"/>
    <x v="1"/>
    <x v="17"/>
    <x v="2"/>
    <n v="2"/>
    <n v="89.99"/>
    <n v="179.98"/>
    <n v="8"/>
    <n v="165.58160000000001"/>
    <s v="Completed"/>
    <n v="179.98"/>
    <n v="89.99"/>
    <x v="7"/>
    <n v="-75.591600000000014"/>
    <n v="0.54347826086956519"/>
    <n v="82.790800000000004"/>
    <s v="Small"/>
    <s v="Low"/>
  </r>
  <r>
    <s v="ORD-0453"/>
    <s v="2025-08-11"/>
    <x v="6"/>
    <x v="3"/>
    <x v="18"/>
    <x v="3"/>
    <n v="22"/>
    <n v="99"/>
    <n v="2178"/>
    <n v="15"/>
    <n v="1851.3"/>
    <s v="Completed"/>
    <n v="2178"/>
    <n v="2079"/>
    <x v="7"/>
    <n v="-1752.3"/>
    <n v="1.1229946524064172"/>
    <n v="84.149999999999991"/>
    <s v="Large"/>
    <s v="Low"/>
  </r>
  <r>
    <s v="ORD-0003"/>
    <s v="2025-08-12"/>
    <x v="1"/>
    <x v="1"/>
    <x v="1"/>
    <x v="1"/>
    <n v="1"/>
    <n v="999"/>
    <n v="999"/>
    <n v="0"/>
    <n v="999"/>
    <s v="Completed"/>
    <n v="999"/>
    <n v="0"/>
    <x v="7"/>
    <n v="0"/>
    <n v="0"/>
    <n v="999"/>
    <s v="Small"/>
    <s v="High"/>
  </r>
  <r>
    <s v="ORD-0202"/>
    <s v="2025-08-13"/>
    <x v="3"/>
    <x v="2"/>
    <x v="20"/>
    <x v="0"/>
    <n v="26"/>
    <n v="169"/>
    <n v="4394"/>
    <n v="8"/>
    <n v="4042.48"/>
    <s v="Pending"/>
    <n v="4394"/>
    <n v="4225"/>
    <x v="7"/>
    <n v="-3873.48"/>
    <n v="1.0451505016722409"/>
    <n v="155.47999999999999"/>
    <s v="Large"/>
    <s v="Low"/>
  </r>
  <r>
    <s v="ORD-0443"/>
    <s v="2025-08-15"/>
    <x v="4"/>
    <x v="3"/>
    <x v="22"/>
    <x v="1"/>
    <n v="22"/>
    <n v="79.989999999999995"/>
    <n v="1759.78"/>
    <n v="15"/>
    <n v="1495.8129999999999"/>
    <s v="Completed"/>
    <n v="1759.78"/>
    <n v="1679.79"/>
    <x v="7"/>
    <n v="-1415.8229999999999"/>
    <n v="1.1229946524064172"/>
    <n v="67.991499999999988"/>
    <s v="Large"/>
    <s v="High"/>
  </r>
  <r>
    <s v="ORD-0460"/>
    <s v="2025-08-15"/>
    <x v="7"/>
    <x v="2"/>
    <x v="6"/>
    <x v="2"/>
    <n v="14"/>
    <n v="59.99"/>
    <n v="839.86"/>
    <n v="0"/>
    <n v="839.86"/>
    <s v="Pending"/>
    <n v="839.86"/>
    <n v="779.87"/>
    <x v="7"/>
    <n v="-779.87"/>
    <n v="0.9285714285714286"/>
    <n v="59.99"/>
    <s v="Large"/>
    <s v="High"/>
  </r>
  <r>
    <s v="ORD-0434"/>
    <s v="2025-08-17"/>
    <x v="2"/>
    <x v="1"/>
    <x v="3"/>
    <x v="2"/>
    <n v="17"/>
    <n v="19.989999999999998"/>
    <n v="339.83"/>
    <n v="0"/>
    <n v="339.83"/>
    <s v="Completed"/>
    <n v="339.83"/>
    <n v="319.83999999999997"/>
    <x v="7"/>
    <n v="-319.83999999999997"/>
    <n v="0.94117647058823528"/>
    <n v="19.989999999999998"/>
    <s v="Large"/>
    <s v="Low"/>
  </r>
  <r>
    <s v="ORD-0174"/>
    <s v="2025-08-19"/>
    <x v="9"/>
    <x v="1"/>
    <x v="0"/>
    <x v="0"/>
    <n v="14"/>
    <n v="129"/>
    <n v="1806"/>
    <n v="0"/>
    <n v="1806"/>
    <s v="Completed"/>
    <n v="1806"/>
    <n v="1677"/>
    <x v="7"/>
    <n v="-1677"/>
    <n v="0.9285714285714286"/>
    <n v="129"/>
    <s v="Large"/>
    <s v="Low"/>
  </r>
  <r>
    <s v="ORD-0247"/>
    <s v="2025-08-20"/>
    <x v="2"/>
    <x v="1"/>
    <x v="21"/>
    <x v="2"/>
    <n v="4"/>
    <n v="79.989999999999995"/>
    <n v="319.95999999999998"/>
    <n v="5"/>
    <n v="303.96199999999999"/>
    <s v="Completed"/>
    <n v="319.95999999999998"/>
    <n v="239.96999999999997"/>
    <x v="7"/>
    <n v="-223.97199999999998"/>
    <n v="0.78947368421052622"/>
    <n v="75.990499999999997"/>
    <s v="Small"/>
    <s v="High"/>
  </r>
  <r>
    <s v="ORD-0404"/>
    <s v="2025-08-26"/>
    <x v="4"/>
    <x v="3"/>
    <x v="13"/>
    <x v="3"/>
    <n v="2"/>
    <n v="59.99"/>
    <n v="119.98"/>
    <n v="0"/>
    <n v="119.98"/>
    <s v="Completed"/>
    <n v="119.98"/>
    <n v="59.99"/>
    <x v="7"/>
    <n v="-59.99"/>
    <n v="0.5"/>
    <n v="59.99"/>
    <s v="Small"/>
    <s v="Low"/>
  </r>
  <r>
    <s v="ORD-0485"/>
    <s v="2025-08-26"/>
    <x v="7"/>
    <x v="2"/>
    <x v="1"/>
    <x v="1"/>
    <n v="4"/>
    <n v="999"/>
    <n v="3996"/>
    <n v="10"/>
    <n v="3596.4"/>
    <s v="Completed"/>
    <n v="3996"/>
    <n v="2997"/>
    <x v="7"/>
    <n v="-2597.4"/>
    <n v="0.83333333333333326"/>
    <n v="899.1"/>
    <s v="Small"/>
    <s v="Low"/>
  </r>
  <r>
    <s v="ORD-0225"/>
    <s v="2025-08-27"/>
    <x v="2"/>
    <x v="1"/>
    <x v="10"/>
    <x v="1"/>
    <n v="19"/>
    <n v="249"/>
    <n v="4731"/>
    <n v="5"/>
    <n v="4494.45"/>
    <s v="Completed"/>
    <n v="4731"/>
    <n v="4482"/>
    <x v="7"/>
    <n v="-4245.45"/>
    <n v="0.99722991689750695"/>
    <n v="236.54999999999998"/>
    <s v="Large"/>
    <s v="High"/>
  </r>
  <r>
    <s v="ORD-0212"/>
    <s v="2025-08-28"/>
    <x v="1"/>
    <x v="1"/>
    <x v="13"/>
    <x v="3"/>
    <n v="12"/>
    <n v="59.99"/>
    <n v="719.88"/>
    <n v="0"/>
    <n v="719.88"/>
    <s v="Completed"/>
    <n v="719.88"/>
    <n v="659.89"/>
    <x v="7"/>
    <n v="-659.89"/>
    <n v="0.91666666666666663"/>
    <n v="59.99"/>
    <s v="Large"/>
    <s v="High"/>
  </r>
  <r>
    <s v="ORD-0295"/>
    <s v="2025-08-28"/>
    <x v="4"/>
    <x v="3"/>
    <x v="7"/>
    <x v="3"/>
    <n v="24"/>
    <n v="49.99"/>
    <n v="1199.76"/>
    <n v="12"/>
    <n v="1055.7888"/>
    <s v="Completed"/>
    <n v="1199.76"/>
    <n v="1149.77"/>
    <x v="7"/>
    <n v="-1005.7988"/>
    <n v="1.0890151515151514"/>
    <n v="43.991199999999999"/>
    <s v="Large"/>
    <s v="Low"/>
  </r>
  <r>
    <s v="ORD-0189"/>
    <s v="2025-08-29"/>
    <x v="5"/>
    <x v="0"/>
    <x v="0"/>
    <x v="0"/>
    <n v="2"/>
    <n v="129"/>
    <n v="258"/>
    <n v="0"/>
    <n v="258"/>
    <s v="Pending"/>
    <n v="258"/>
    <n v="129"/>
    <x v="7"/>
    <n v="-129"/>
    <n v="0.5"/>
    <n v="129"/>
    <s v="Small"/>
    <s v="High"/>
  </r>
  <r>
    <s v="ORD-0343"/>
    <s v="2025-08-31"/>
    <x v="3"/>
    <x v="2"/>
    <x v="16"/>
    <x v="1"/>
    <n v="7"/>
    <n v="599"/>
    <n v="4193"/>
    <n v="0"/>
    <n v="4193"/>
    <s v="Completed"/>
    <n v="4193"/>
    <n v="3594"/>
    <x v="7"/>
    <n v="-3594"/>
    <n v="0.8571428571428571"/>
    <n v="599"/>
    <s v="Small"/>
    <s v="Low"/>
  </r>
  <r>
    <s v="ORD-0228"/>
    <s v="2025-09-01"/>
    <x v="9"/>
    <x v="1"/>
    <x v="22"/>
    <x v="1"/>
    <n v="1"/>
    <n v="79.989999999999995"/>
    <n v="79.989999999999995"/>
    <n v="8"/>
    <n v="73.590800000000002"/>
    <s v="Completed"/>
    <n v="79.989999999999995"/>
    <n v="0"/>
    <x v="8"/>
    <n v="6.3991999999999933"/>
    <n v="0"/>
    <n v="73.590800000000002"/>
    <s v="Small"/>
    <s v="High"/>
  </r>
  <r>
    <s v="ORD-0456"/>
    <s v="2025-09-03"/>
    <x v="6"/>
    <x v="3"/>
    <x v="14"/>
    <x v="3"/>
    <n v="7"/>
    <n v="299"/>
    <n v="2093"/>
    <n v="10"/>
    <n v="1883.7"/>
    <s v="Completed"/>
    <n v="2093"/>
    <n v="1794"/>
    <x v="8"/>
    <n v="-1584.7"/>
    <n v="0.95238095238095233"/>
    <n v="269.10000000000002"/>
    <s v="Small"/>
    <s v="Low"/>
  </r>
  <r>
    <s v="ORD-0194"/>
    <s v="2025-09-04"/>
    <x v="0"/>
    <x v="0"/>
    <x v="5"/>
    <x v="1"/>
    <n v="20"/>
    <n v="399"/>
    <n v="7980"/>
    <n v="10"/>
    <n v="7182"/>
    <s v="Completed"/>
    <n v="7980"/>
    <n v="7581"/>
    <x v="8"/>
    <n v="-6783"/>
    <n v="1.0555555555555556"/>
    <n v="359.1"/>
    <s v="Large"/>
    <s v="High"/>
  </r>
  <r>
    <s v="ORD-0368"/>
    <s v="2025-09-04"/>
    <x v="8"/>
    <x v="3"/>
    <x v="3"/>
    <x v="2"/>
    <n v="17"/>
    <n v="19.989999999999998"/>
    <n v="339.83"/>
    <n v="12"/>
    <n v="299.05039999999997"/>
    <s v="Completed"/>
    <n v="339.83"/>
    <n v="319.83999999999997"/>
    <x v="8"/>
    <n v="-279.06039999999996"/>
    <n v="1.0695187165775402"/>
    <n v="17.591199999999997"/>
    <s v="Large"/>
    <s v="High"/>
  </r>
  <r>
    <s v="ORD-0438"/>
    <s v="2025-09-04"/>
    <x v="1"/>
    <x v="1"/>
    <x v="20"/>
    <x v="0"/>
    <n v="25"/>
    <n v="169"/>
    <n v="4225"/>
    <n v="0"/>
    <n v="4225"/>
    <s v="Completed"/>
    <n v="4225"/>
    <n v="4056"/>
    <x v="8"/>
    <n v="-4056"/>
    <n v="0.96"/>
    <n v="169"/>
    <s v="Large"/>
    <s v="Low"/>
  </r>
  <r>
    <s v="ORD-0040"/>
    <s v="2025-09-06"/>
    <x v="0"/>
    <x v="0"/>
    <x v="18"/>
    <x v="3"/>
    <n v="30"/>
    <n v="99"/>
    <n v="2970"/>
    <n v="12"/>
    <n v="2613.6"/>
    <s v="Completed"/>
    <n v="2970"/>
    <n v="2871"/>
    <x v="8"/>
    <n v="-2514.6"/>
    <n v="1.0984848484848486"/>
    <n v="87.11999999999999"/>
    <s v="Large"/>
    <s v="High"/>
  </r>
  <r>
    <s v="ORD-0399"/>
    <s v="2025-09-06"/>
    <x v="8"/>
    <x v="3"/>
    <x v="20"/>
    <x v="0"/>
    <n v="24"/>
    <n v="169"/>
    <n v="4056"/>
    <n v="5"/>
    <n v="3853.2"/>
    <s v="Completed"/>
    <n v="4056"/>
    <n v="3887"/>
    <x v="8"/>
    <n v="-3684.2"/>
    <n v="1.0087719298245614"/>
    <n v="160.54999999999998"/>
    <s v="Large"/>
    <s v="High"/>
  </r>
  <r>
    <s v="ORD-0455"/>
    <s v="2025-09-06"/>
    <x v="8"/>
    <x v="3"/>
    <x v="18"/>
    <x v="3"/>
    <n v="25"/>
    <n v="99"/>
    <n v="2475"/>
    <n v="12"/>
    <n v="2178"/>
    <s v="Pending"/>
    <n v="2475"/>
    <n v="2376"/>
    <x v="8"/>
    <n v="-2079"/>
    <n v="1.0909090909090908"/>
    <n v="87.12"/>
    <s v="Large"/>
    <s v="High"/>
  </r>
  <r>
    <s v="ORD-0496"/>
    <s v="2025-09-06"/>
    <x v="1"/>
    <x v="1"/>
    <x v="3"/>
    <x v="2"/>
    <n v="25"/>
    <n v="19.989999999999998"/>
    <n v="499.74999999999994"/>
    <n v="0"/>
    <n v="499.74999999999994"/>
    <s v="Completed"/>
    <n v="499.74999999999994"/>
    <n v="479.75999999999993"/>
    <x v="8"/>
    <n v="-479.75999999999993"/>
    <n v="0.96"/>
    <n v="19.989999999999998"/>
    <s v="Large"/>
    <s v="High"/>
  </r>
  <r>
    <s v="ORD-0130"/>
    <s v="2025-09-07"/>
    <x v="8"/>
    <x v="3"/>
    <x v="17"/>
    <x v="2"/>
    <n v="29"/>
    <n v="89.99"/>
    <n v="2609.71"/>
    <n v="12"/>
    <n v="2296.5448000000001"/>
    <s v="Cancelled"/>
    <n v="2609.71"/>
    <n v="2519.7200000000003"/>
    <x v="8"/>
    <n v="-2206.5548000000003"/>
    <n v="1.0971786833855799"/>
    <n v="79.191200000000009"/>
    <s v="Large"/>
    <s v="Low"/>
  </r>
  <r>
    <s v="ORD-0136"/>
    <s v="2025-09-07"/>
    <x v="8"/>
    <x v="3"/>
    <x v="11"/>
    <x v="2"/>
    <n v="8"/>
    <n v="49.99"/>
    <n v="399.92"/>
    <n v="10"/>
    <n v="359.928"/>
    <s v="Completed"/>
    <n v="399.92"/>
    <n v="349.93"/>
    <x v="8"/>
    <n v="-309.93799999999999"/>
    <n v="0.97222222222222221"/>
    <n v="44.991"/>
    <s v="Small"/>
    <s v="High"/>
  </r>
  <r>
    <s v="ORD-0266"/>
    <s v="2025-09-07"/>
    <x v="7"/>
    <x v="2"/>
    <x v="5"/>
    <x v="1"/>
    <n v="14"/>
    <n v="399"/>
    <n v="5586"/>
    <n v="0"/>
    <n v="5586"/>
    <s v="Completed"/>
    <n v="5586"/>
    <n v="5187"/>
    <x v="8"/>
    <n v="-5187"/>
    <n v="0.9285714285714286"/>
    <n v="399"/>
    <s v="Large"/>
    <s v="Low"/>
  </r>
  <r>
    <s v="ORD-0475"/>
    <s v="2025-09-07"/>
    <x v="8"/>
    <x v="3"/>
    <x v="21"/>
    <x v="2"/>
    <n v="13"/>
    <n v="79.989999999999995"/>
    <n v="1039.8699999999999"/>
    <n v="12"/>
    <n v="915.08559999999989"/>
    <s v="Pending"/>
    <n v="1039.8699999999999"/>
    <n v="959.87999999999988"/>
    <x v="8"/>
    <n v="-835.09559999999988"/>
    <n v="1.048951048951049"/>
    <n v="70.391199999999998"/>
    <s v="Large"/>
    <s v="High"/>
  </r>
  <r>
    <s v="ORD-0001"/>
    <s v="2025-09-08"/>
    <x v="8"/>
    <x v="3"/>
    <x v="8"/>
    <x v="1"/>
    <n v="24"/>
    <n v="1299"/>
    <n v="31176"/>
    <n v="5"/>
    <n v="29617.199999999997"/>
    <s v="Completed"/>
    <n v="31176"/>
    <n v="29877"/>
    <x v="8"/>
    <n v="-28318.199999999997"/>
    <n v="1.0087719298245614"/>
    <n v="1234.05"/>
    <s v="Large"/>
    <s v="Low"/>
  </r>
  <r>
    <s v="ORD-0092"/>
    <s v="2025-09-08"/>
    <x v="3"/>
    <x v="2"/>
    <x v="22"/>
    <x v="1"/>
    <n v="1"/>
    <n v="79.989999999999995"/>
    <n v="79.989999999999995"/>
    <n v="0"/>
    <n v="79.989999999999995"/>
    <s v="Completed"/>
    <n v="79.989999999999995"/>
    <n v="0"/>
    <x v="8"/>
    <n v="0"/>
    <n v="0"/>
    <n v="79.989999999999995"/>
    <s v="Small"/>
    <s v="High"/>
  </r>
  <r>
    <s v="ORD-0019"/>
    <s v="2025-09-10"/>
    <x v="5"/>
    <x v="0"/>
    <x v="22"/>
    <x v="1"/>
    <n v="9"/>
    <n v="79.989999999999995"/>
    <n v="719.91"/>
    <n v="0"/>
    <n v="719.91"/>
    <s v="Cancelled"/>
    <n v="719.91"/>
    <n v="639.91999999999996"/>
    <x v="8"/>
    <n v="-639.91999999999996"/>
    <n v="0.88888888888888884"/>
    <n v="79.989999999999995"/>
    <s v="Small"/>
    <s v="Low"/>
  </r>
  <r>
    <s v="ORD-0421"/>
    <s v="2025-09-11"/>
    <x v="2"/>
    <x v="1"/>
    <x v="12"/>
    <x v="3"/>
    <n v="27"/>
    <n v="149"/>
    <n v="4023"/>
    <n v="5"/>
    <n v="3821.85"/>
    <s v="Pending"/>
    <n v="4023"/>
    <n v="3874"/>
    <x v="8"/>
    <n v="-3672.85"/>
    <n v="1.0136452241715399"/>
    <n v="141.54999999999998"/>
    <s v="Large"/>
    <s v="Low"/>
  </r>
  <r>
    <s v="ORD-0043"/>
    <s v="2025-09-12"/>
    <x v="1"/>
    <x v="1"/>
    <x v="18"/>
    <x v="3"/>
    <n v="11"/>
    <n v="99"/>
    <n v="1089"/>
    <n v="0"/>
    <n v="1089"/>
    <s v="Completed"/>
    <n v="1089"/>
    <n v="990"/>
    <x v="8"/>
    <n v="-990"/>
    <n v="0.90909090909090906"/>
    <n v="99"/>
    <s v="Large"/>
    <s v="High"/>
  </r>
  <r>
    <s v="ORD-0148"/>
    <s v="2025-09-12"/>
    <x v="0"/>
    <x v="0"/>
    <x v="19"/>
    <x v="0"/>
    <n v="10"/>
    <n v="199"/>
    <n v="1990"/>
    <n v="0"/>
    <n v="1990"/>
    <s v="Completed"/>
    <n v="1990"/>
    <n v="1791"/>
    <x v="8"/>
    <n v="-1791"/>
    <n v="0.9"/>
    <n v="199"/>
    <s v="Large"/>
    <s v="High"/>
  </r>
  <r>
    <s v="ORD-0336"/>
    <s v="2025-09-13"/>
    <x v="7"/>
    <x v="2"/>
    <x v="3"/>
    <x v="2"/>
    <n v="11"/>
    <n v="19.989999999999998"/>
    <n v="219.89"/>
    <n v="5"/>
    <n v="208.89549999999997"/>
    <s v="Completed"/>
    <n v="219.89"/>
    <n v="199.89999999999998"/>
    <x v="8"/>
    <n v="-188.90549999999996"/>
    <n v="0.9569377990430622"/>
    <n v="18.990499999999997"/>
    <s v="Large"/>
    <s v="High"/>
  </r>
  <r>
    <s v="ORD-0161"/>
    <s v="2025-09-14"/>
    <x v="9"/>
    <x v="1"/>
    <x v="9"/>
    <x v="0"/>
    <n v="24"/>
    <n v="549"/>
    <n v="13176"/>
    <n v="8"/>
    <n v="12121.92"/>
    <s v="Completed"/>
    <n v="13176"/>
    <n v="12627"/>
    <x v="8"/>
    <n v="-11572.92"/>
    <n v="1.0416666666666667"/>
    <n v="505.08"/>
    <s v="Large"/>
    <s v="Low"/>
  </r>
  <r>
    <s v="ORD-0023"/>
    <s v="2025-09-15"/>
    <x v="8"/>
    <x v="3"/>
    <x v="3"/>
    <x v="2"/>
    <n v="13"/>
    <n v="19.989999999999998"/>
    <n v="259.87"/>
    <n v="12"/>
    <n v="228.68559999999999"/>
    <s v="Completed"/>
    <n v="259.87"/>
    <n v="239.88"/>
    <x v="8"/>
    <n v="-208.69559999999998"/>
    <n v="1.048951048951049"/>
    <n v="17.591200000000001"/>
    <s v="Large"/>
    <s v="High"/>
  </r>
  <r>
    <s v="ORD-0081"/>
    <s v="2025-09-18"/>
    <x v="2"/>
    <x v="1"/>
    <x v="16"/>
    <x v="1"/>
    <n v="13"/>
    <n v="599"/>
    <n v="7787"/>
    <n v="5"/>
    <n v="7397.65"/>
    <s v="Completed"/>
    <n v="7787"/>
    <n v="7188"/>
    <x v="8"/>
    <n v="-6798.65"/>
    <n v="0.97165991902834015"/>
    <n v="569.04999999999995"/>
    <s v="Large"/>
    <s v="Low"/>
  </r>
  <r>
    <s v="ORD-0195"/>
    <s v="2025-09-18"/>
    <x v="6"/>
    <x v="3"/>
    <x v="22"/>
    <x v="1"/>
    <n v="8"/>
    <n v="79.989999999999995"/>
    <n v="639.91999999999996"/>
    <n v="12"/>
    <n v="563.12959999999998"/>
    <s v="Completed"/>
    <n v="639.91999999999996"/>
    <n v="559.92999999999995"/>
    <x v="8"/>
    <n v="-483.13959999999997"/>
    <n v="0.99431818181818177"/>
    <n v="70.391199999999998"/>
    <s v="Small"/>
    <s v="High"/>
  </r>
  <r>
    <s v="ORD-0428"/>
    <s v="2025-09-18"/>
    <x v="4"/>
    <x v="3"/>
    <x v="18"/>
    <x v="3"/>
    <n v="1"/>
    <n v="99"/>
    <n v="99"/>
    <n v="10"/>
    <n v="89.100000000000009"/>
    <s v="Completed"/>
    <n v="99"/>
    <n v="0"/>
    <x v="8"/>
    <n v="9.8999999999999915"/>
    <n v="0"/>
    <n v="89.100000000000009"/>
    <s v="Small"/>
    <s v="Low"/>
  </r>
  <r>
    <s v="ORD-0259"/>
    <s v="2025-09-19"/>
    <x v="4"/>
    <x v="3"/>
    <x v="10"/>
    <x v="1"/>
    <n v="25"/>
    <n v="249"/>
    <n v="6225"/>
    <n v="0"/>
    <n v="6225"/>
    <s v="Completed"/>
    <n v="6225"/>
    <n v="5976"/>
    <x v="8"/>
    <n v="-5976"/>
    <n v="0.96"/>
    <n v="249"/>
    <s v="Large"/>
    <s v="Low"/>
  </r>
  <r>
    <s v="ORD-0120"/>
    <s v="2025-09-20"/>
    <x v="8"/>
    <x v="3"/>
    <x v="19"/>
    <x v="0"/>
    <n v="7"/>
    <n v="199"/>
    <n v="1393"/>
    <n v="12"/>
    <n v="1225.8399999999999"/>
    <s v="Cancelled"/>
    <n v="1393"/>
    <n v="1194"/>
    <x v="8"/>
    <n v="-1026.8399999999999"/>
    <n v="0.97402597402597413"/>
    <n v="175.11999999999998"/>
    <s v="Small"/>
    <s v="High"/>
  </r>
  <r>
    <s v="ORD-0270"/>
    <s v="2025-09-20"/>
    <x v="0"/>
    <x v="0"/>
    <x v="2"/>
    <x v="2"/>
    <n v="4"/>
    <n v="29.99"/>
    <n v="119.96"/>
    <n v="0"/>
    <n v="119.96"/>
    <s v="Completed"/>
    <n v="119.96"/>
    <n v="89.97"/>
    <x v="8"/>
    <n v="-89.97"/>
    <n v="0.75"/>
    <n v="29.99"/>
    <s v="Small"/>
    <s v="High"/>
  </r>
  <r>
    <s v="ORD-0207"/>
    <s v="2025-09-21"/>
    <x v="2"/>
    <x v="1"/>
    <x v="17"/>
    <x v="2"/>
    <n v="27"/>
    <n v="89.99"/>
    <n v="2429.73"/>
    <n v="0"/>
    <n v="2429.73"/>
    <s v="Completed"/>
    <n v="2429.73"/>
    <n v="2339.7400000000002"/>
    <x v="8"/>
    <n v="-2339.7400000000002"/>
    <n v="0.96296296296296302"/>
    <n v="89.99"/>
    <s v="Large"/>
    <s v="Low"/>
  </r>
  <r>
    <s v="ORD-0463"/>
    <s v="2025-09-21"/>
    <x v="3"/>
    <x v="2"/>
    <x v="23"/>
    <x v="0"/>
    <n v="18"/>
    <n v="449"/>
    <n v="8082"/>
    <n v="8"/>
    <n v="7435.4400000000005"/>
    <s v="Cancelled"/>
    <n v="8082"/>
    <n v="7633"/>
    <x v="8"/>
    <n v="-6986.4400000000005"/>
    <n v="1.0265700483091786"/>
    <n v="413.08000000000004"/>
    <s v="Large"/>
    <s v="High"/>
  </r>
  <r>
    <s v="ORD-0055"/>
    <s v="2025-09-25"/>
    <x v="6"/>
    <x v="3"/>
    <x v="19"/>
    <x v="0"/>
    <n v="17"/>
    <n v="199"/>
    <n v="3383"/>
    <n v="8"/>
    <n v="3112.36"/>
    <s v="Completed"/>
    <n v="3383"/>
    <n v="3184"/>
    <x v="8"/>
    <n v="-2913.36"/>
    <n v="1.0230179028132993"/>
    <n v="183.08"/>
    <s v="Large"/>
    <s v="High"/>
  </r>
  <r>
    <s v="ORD-0415"/>
    <s v="2025-09-25"/>
    <x v="4"/>
    <x v="3"/>
    <x v="6"/>
    <x v="2"/>
    <n v="10"/>
    <n v="59.99"/>
    <n v="599.9"/>
    <n v="0"/>
    <n v="599.9"/>
    <s v="Pending"/>
    <n v="599.9"/>
    <n v="539.91"/>
    <x v="8"/>
    <n v="-539.91"/>
    <n v="0.9"/>
    <n v="59.989999999999995"/>
    <s v="Large"/>
    <s v="High"/>
  </r>
  <r>
    <s v="ORD-0066"/>
    <s v="2025-09-26"/>
    <x v="9"/>
    <x v="1"/>
    <x v="6"/>
    <x v="2"/>
    <n v="25"/>
    <n v="59.99"/>
    <n v="1499.75"/>
    <n v="0"/>
    <n v="1499.75"/>
    <s v="Completed"/>
    <n v="1499.75"/>
    <n v="1439.76"/>
    <x v="8"/>
    <n v="-1439.76"/>
    <n v="0.96"/>
    <n v="59.99"/>
    <s v="Large"/>
    <s v="Low"/>
  </r>
  <r>
    <s v="ORD-0211"/>
    <s v="2025-09-26"/>
    <x v="2"/>
    <x v="1"/>
    <x v="16"/>
    <x v="1"/>
    <n v="15"/>
    <n v="599"/>
    <n v="8985"/>
    <n v="8"/>
    <n v="8266.2000000000007"/>
    <s v="Completed"/>
    <n v="8985"/>
    <n v="8386"/>
    <x v="8"/>
    <n v="-7667.2000000000007"/>
    <n v="1.0144927536231882"/>
    <n v="551.08000000000004"/>
    <s v="Large"/>
    <s v="High"/>
  </r>
  <r>
    <s v="ORD-0008"/>
    <s v="2025-09-28"/>
    <x v="8"/>
    <x v="3"/>
    <x v="21"/>
    <x v="2"/>
    <n v="28"/>
    <n v="79.989999999999995"/>
    <n v="2239.7199999999998"/>
    <n v="8"/>
    <n v="2060.5423999999998"/>
    <s v="Completed"/>
    <n v="2239.7199999999998"/>
    <n v="2159.73"/>
    <x v="8"/>
    <n v="-1980.5523999999998"/>
    <n v="1.048136645962733"/>
    <n v="73.590799999999987"/>
    <s v="Large"/>
    <s v="High"/>
  </r>
  <r>
    <s v="ORD-0371"/>
    <s v="2025-09-28"/>
    <x v="9"/>
    <x v="1"/>
    <x v="16"/>
    <x v="1"/>
    <n v="14"/>
    <n v="599"/>
    <n v="8386"/>
    <n v="0"/>
    <n v="8386"/>
    <s v="Pending"/>
    <n v="8386"/>
    <n v="7787"/>
    <x v="8"/>
    <n v="-7787"/>
    <n v="0.9285714285714286"/>
    <n v="599"/>
    <s v="Large"/>
    <s v="High"/>
  </r>
  <r>
    <s v="ORD-0391"/>
    <s v="2025-09-28"/>
    <x v="2"/>
    <x v="1"/>
    <x v="6"/>
    <x v="2"/>
    <n v="18"/>
    <n v="59.99"/>
    <n v="1079.82"/>
    <n v="8"/>
    <n v="993.43439999999998"/>
    <s v="Completed"/>
    <n v="1079.82"/>
    <n v="1019.8299999999999"/>
    <x v="8"/>
    <n v="-933.44439999999997"/>
    <n v="1.0265700483091786"/>
    <n v="55.190799999999996"/>
    <s v="Large"/>
    <s v="High"/>
  </r>
  <r>
    <s v="ORD-0157"/>
    <s v="2025-09-30"/>
    <x v="2"/>
    <x v="1"/>
    <x v="2"/>
    <x v="2"/>
    <n v="21"/>
    <n v="29.99"/>
    <n v="629.79"/>
    <n v="0"/>
    <n v="629.79"/>
    <s v="Completed"/>
    <n v="629.79"/>
    <n v="599.79999999999995"/>
    <x v="8"/>
    <n v="-599.79999999999995"/>
    <n v="0.95238095238095233"/>
    <n v="29.99"/>
    <s v="Large"/>
    <s v="Low"/>
  </r>
  <r>
    <s v="ORD-0024"/>
    <s v="2025-10-01"/>
    <x v="9"/>
    <x v="1"/>
    <x v="12"/>
    <x v="3"/>
    <n v="24"/>
    <n v="149"/>
    <n v="3576"/>
    <n v="0"/>
    <n v="3576"/>
    <s v="Cancelled"/>
    <n v="3576"/>
    <n v="3427"/>
    <x v="9"/>
    <n v="-3427"/>
    <n v="0.95833333333333337"/>
    <n v="149"/>
    <s v="Large"/>
    <s v="Low"/>
  </r>
  <r>
    <s v="ORD-0171"/>
    <s v="2025-10-01"/>
    <x v="5"/>
    <x v="0"/>
    <x v="7"/>
    <x v="3"/>
    <n v="2"/>
    <n v="49.99"/>
    <n v="99.98"/>
    <n v="5"/>
    <n v="94.980999999999995"/>
    <s v="Completed"/>
    <n v="99.98"/>
    <n v="49.99"/>
    <x v="9"/>
    <n v="-44.990999999999993"/>
    <n v="0.52631578947368429"/>
    <n v="47.490499999999997"/>
    <s v="Small"/>
    <s v="High"/>
  </r>
  <r>
    <s v="ORD-0179"/>
    <s v="2025-10-01"/>
    <x v="1"/>
    <x v="1"/>
    <x v="6"/>
    <x v="2"/>
    <n v="30"/>
    <n v="59.99"/>
    <n v="1799.7"/>
    <n v="15"/>
    <n v="1529.7449999999999"/>
    <s v="Completed"/>
    <n v="1799.7"/>
    <n v="1739.71"/>
    <x v="9"/>
    <n v="-1469.7549999999999"/>
    <n v="1.1372549019607845"/>
    <n v="50.991499999999995"/>
    <s v="Large"/>
    <s v="Low"/>
  </r>
  <r>
    <s v="ORD-0474"/>
    <s v="2025-10-01"/>
    <x v="2"/>
    <x v="1"/>
    <x v="17"/>
    <x v="2"/>
    <n v="27"/>
    <n v="89.99"/>
    <n v="2429.73"/>
    <n v="8"/>
    <n v="2235.3516"/>
    <s v="Completed"/>
    <n v="2429.73"/>
    <n v="2339.7400000000002"/>
    <x v="9"/>
    <n v="-2145.3616000000002"/>
    <n v="1.0466988727858295"/>
    <n v="82.790800000000004"/>
    <s v="Large"/>
    <s v="High"/>
  </r>
  <r>
    <s v="ORD-0162"/>
    <s v="2025-10-03"/>
    <x v="8"/>
    <x v="3"/>
    <x v="2"/>
    <x v="2"/>
    <n v="22"/>
    <n v="29.99"/>
    <n v="659.78"/>
    <n v="0"/>
    <n v="659.78"/>
    <s v="Completed"/>
    <n v="659.78"/>
    <n v="629.79"/>
    <x v="9"/>
    <n v="-629.79"/>
    <n v="0.95454545454545447"/>
    <n v="29.99"/>
    <s v="Large"/>
    <s v="High"/>
  </r>
  <r>
    <s v="ORD-0015"/>
    <s v="2025-10-04"/>
    <x v="3"/>
    <x v="2"/>
    <x v="15"/>
    <x v="1"/>
    <n v="15"/>
    <n v="149.99"/>
    <n v="2249.8500000000004"/>
    <n v="10"/>
    <n v="2024.8650000000005"/>
    <s v="Pending"/>
    <n v="2249.8500000000004"/>
    <n v="2099.8600000000006"/>
    <x v="9"/>
    <n v="-1874.8750000000005"/>
    <n v="1.037037037037037"/>
    <n v="134.99100000000004"/>
    <s v="Large"/>
    <s v="Low"/>
  </r>
  <r>
    <s v="ORD-0138"/>
    <s v="2025-10-05"/>
    <x v="2"/>
    <x v="1"/>
    <x v="6"/>
    <x v="2"/>
    <n v="12"/>
    <n v="59.99"/>
    <n v="719.88"/>
    <n v="12"/>
    <n v="633.49440000000004"/>
    <s v="Completed"/>
    <n v="719.88"/>
    <n v="659.89"/>
    <x v="9"/>
    <n v="-573.50440000000003"/>
    <n v="1.0416666666666665"/>
    <n v="52.791200000000003"/>
    <s v="Large"/>
    <s v="High"/>
  </r>
  <r>
    <s v="ORD-0480"/>
    <s v="2025-10-05"/>
    <x v="3"/>
    <x v="2"/>
    <x v="14"/>
    <x v="3"/>
    <n v="29"/>
    <n v="299"/>
    <n v="8671"/>
    <n v="12"/>
    <n v="7630.4800000000005"/>
    <s v="Completed"/>
    <n v="8671"/>
    <n v="8372"/>
    <x v="9"/>
    <n v="-7331.4800000000005"/>
    <n v="1.0971786833855799"/>
    <n v="263.12"/>
    <s v="Large"/>
    <s v="Low"/>
  </r>
  <r>
    <s v="ORD-0398"/>
    <s v="2025-10-06"/>
    <x v="2"/>
    <x v="1"/>
    <x v="17"/>
    <x v="2"/>
    <n v="30"/>
    <n v="89.99"/>
    <n v="2699.7"/>
    <n v="15"/>
    <n v="2294.7449999999999"/>
    <s v="Completed"/>
    <n v="2699.7"/>
    <n v="2609.71"/>
    <x v="9"/>
    <n v="-2204.7550000000001"/>
    <n v="1.1372549019607845"/>
    <n v="76.491500000000002"/>
    <s v="Large"/>
    <s v="High"/>
  </r>
  <r>
    <s v="ORD-0323"/>
    <s v="2025-10-07"/>
    <x v="7"/>
    <x v="2"/>
    <x v="7"/>
    <x v="3"/>
    <n v="2"/>
    <n v="49.99"/>
    <n v="99.98"/>
    <n v="8"/>
    <n v="91.981600000000014"/>
    <s v="Completed"/>
    <n v="99.98"/>
    <n v="49.99"/>
    <x v="9"/>
    <n v="-41.991600000000012"/>
    <n v="0.54347826086956519"/>
    <n v="45.990800000000007"/>
    <s v="Small"/>
    <s v="High"/>
  </r>
  <r>
    <s v="ORD-0143"/>
    <s v="2025-10-08"/>
    <x v="9"/>
    <x v="1"/>
    <x v="14"/>
    <x v="3"/>
    <n v="18"/>
    <n v="299"/>
    <n v="5382"/>
    <n v="0"/>
    <n v="5382"/>
    <s v="Completed"/>
    <n v="5382"/>
    <n v="5083"/>
    <x v="9"/>
    <n v="-5083"/>
    <n v="0.94444444444444442"/>
    <n v="299"/>
    <s v="Large"/>
    <s v="Low"/>
  </r>
  <r>
    <s v="ORD-0352"/>
    <s v="2025-10-09"/>
    <x v="4"/>
    <x v="3"/>
    <x v="5"/>
    <x v="1"/>
    <n v="9"/>
    <n v="399"/>
    <n v="3591"/>
    <n v="5"/>
    <n v="3411.45"/>
    <s v="Completed"/>
    <n v="3591"/>
    <n v="3192"/>
    <x v="9"/>
    <n v="-3012.45"/>
    <n v="0.9356725146198831"/>
    <n v="379.04999999999995"/>
    <s v="Small"/>
    <s v="High"/>
  </r>
  <r>
    <s v="ORD-0065"/>
    <s v="2025-10-11"/>
    <x v="4"/>
    <x v="3"/>
    <x v="1"/>
    <x v="1"/>
    <n v="3"/>
    <n v="999"/>
    <n v="2997"/>
    <n v="10"/>
    <n v="2697.3"/>
    <s v="Completed"/>
    <n v="2997"/>
    <n v="1998"/>
    <x v="9"/>
    <n v="-1698.3000000000002"/>
    <n v="0.7407407407407407"/>
    <n v="899.1"/>
    <s v="Small"/>
    <s v="High"/>
  </r>
  <r>
    <s v="ORD-0005"/>
    <s v="2025-10-12"/>
    <x v="2"/>
    <x v="1"/>
    <x v="9"/>
    <x v="0"/>
    <n v="8"/>
    <n v="549"/>
    <n v="4392"/>
    <n v="12"/>
    <n v="3864.96"/>
    <s v="Completed"/>
    <n v="4392"/>
    <n v="3843"/>
    <x v="9"/>
    <n v="-3315.96"/>
    <n v="0.99431818181818177"/>
    <n v="483.12"/>
    <s v="Small"/>
    <s v="High"/>
  </r>
  <r>
    <s v="ORD-0006"/>
    <s v="2025-10-12"/>
    <x v="0"/>
    <x v="0"/>
    <x v="14"/>
    <x v="3"/>
    <n v="14"/>
    <n v="299"/>
    <n v="4186"/>
    <n v="8"/>
    <n v="3851.1200000000003"/>
    <s v="Completed"/>
    <n v="4186"/>
    <n v="3887"/>
    <x v="9"/>
    <n v="-3552.1200000000003"/>
    <n v="1.0093167701863353"/>
    <n v="275.08000000000004"/>
    <s v="Large"/>
    <s v="High"/>
  </r>
  <r>
    <s v="ORD-0115"/>
    <s v="2025-10-12"/>
    <x v="7"/>
    <x v="2"/>
    <x v="7"/>
    <x v="3"/>
    <n v="29"/>
    <n v="49.99"/>
    <n v="1449.71"/>
    <n v="10"/>
    <n v="1304.739"/>
    <s v="Cancelled"/>
    <n v="1449.71"/>
    <n v="1399.72"/>
    <x v="9"/>
    <n v="-1254.749"/>
    <n v="1.0727969348659003"/>
    <n v="44.991"/>
    <s v="Large"/>
    <s v="High"/>
  </r>
  <r>
    <s v="ORD-0369"/>
    <s v="2025-10-16"/>
    <x v="6"/>
    <x v="3"/>
    <x v="21"/>
    <x v="2"/>
    <n v="2"/>
    <n v="79.989999999999995"/>
    <n v="159.97999999999999"/>
    <n v="0"/>
    <n v="159.97999999999999"/>
    <s v="Completed"/>
    <n v="159.97999999999999"/>
    <n v="79.989999999999995"/>
    <x v="9"/>
    <n v="-79.989999999999995"/>
    <n v="0.5"/>
    <n v="79.989999999999995"/>
    <s v="Small"/>
    <s v="High"/>
  </r>
  <r>
    <s v="ORD-0141"/>
    <s v="2025-10-17"/>
    <x v="5"/>
    <x v="0"/>
    <x v="17"/>
    <x v="2"/>
    <n v="24"/>
    <n v="89.99"/>
    <n v="2159.7599999999998"/>
    <n v="15"/>
    <n v="1835.7959999999998"/>
    <s v="Completed"/>
    <n v="2159.7599999999998"/>
    <n v="2069.77"/>
    <x v="9"/>
    <n v="-1745.8059999999998"/>
    <n v="1.1274509803921569"/>
    <n v="76.491499999999988"/>
    <s v="Large"/>
    <s v="Low"/>
  </r>
  <r>
    <s v="ORD-0102"/>
    <s v="2025-10-20"/>
    <x v="3"/>
    <x v="2"/>
    <x v="17"/>
    <x v="2"/>
    <n v="15"/>
    <n v="89.99"/>
    <n v="1349.85"/>
    <n v="0"/>
    <n v="1349.85"/>
    <s v="Completed"/>
    <n v="1349.85"/>
    <n v="1259.8599999999999"/>
    <x v="9"/>
    <n v="-1259.8599999999999"/>
    <n v="0.93333333333333335"/>
    <n v="89.99"/>
    <s v="Large"/>
    <s v="High"/>
  </r>
  <r>
    <s v="ORD-0370"/>
    <s v="2025-10-20"/>
    <x v="6"/>
    <x v="3"/>
    <x v="13"/>
    <x v="3"/>
    <n v="22"/>
    <n v="59.99"/>
    <n v="1319.78"/>
    <n v="12"/>
    <n v="1161.4064000000001"/>
    <s v="Completed"/>
    <n v="1319.78"/>
    <n v="1259.79"/>
    <x v="9"/>
    <n v="-1101.4164000000001"/>
    <n v="1.0847107438016528"/>
    <n v="52.791200000000003"/>
    <s v="Large"/>
    <s v="High"/>
  </r>
  <r>
    <s v="ORD-0305"/>
    <s v="2025-10-21"/>
    <x v="7"/>
    <x v="2"/>
    <x v="22"/>
    <x v="1"/>
    <n v="5"/>
    <n v="79.989999999999995"/>
    <n v="399.95"/>
    <n v="0"/>
    <n v="399.95"/>
    <s v="Completed"/>
    <n v="399.95"/>
    <n v="319.95999999999998"/>
    <x v="9"/>
    <n v="-319.95999999999998"/>
    <n v="0.79999999999999993"/>
    <n v="79.989999999999995"/>
    <s v="Small"/>
    <s v="High"/>
  </r>
  <r>
    <s v="ORD-0471"/>
    <s v="2025-10-21"/>
    <x v="9"/>
    <x v="1"/>
    <x v="24"/>
    <x v="0"/>
    <n v="24"/>
    <n v="39.99"/>
    <n v="959.76"/>
    <n v="5"/>
    <n v="911.77199999999993"/>
    <s v="Completed"/>
    <n v="959.76"/>
    <n v="919.77"/>
    <x v="9"/>
    <n v="-871.78199999999993"/>
    <n v="1.0087719298245614"/>
    <n v="37.990499999999997"/>
    <s v="Large"/>
    <s v="Low"/>
  </r>
  <r>
    <s v="ORD-0196"/>
    <s v="2025-10-22"/>
    <x v="4"/>
    <x v="3"/>
    <x v="12"/>
    <x v="3"/>
    <n v="1"/>
    <n v="149"/>
    <n v="149"/>
    <n v="12"/>
    <n v="131.12"/>
    <s v="Pending"/>
    <n v="149"/>
    <n v="0"/>
    <x v="9"/>
    <n v="17.879999999999995"/>
    <n v="0"/>
    <n v="131.12"/>
    <s v="Small"/>
    <s v="Low"/>
  </r>
  <r>
    <s v="ORD-0394"/>
    <s v="2025-10-22"/>
    <x v="5"/>
    <x v="0"/>
    <x v="21"/>
    <x v="2"/>
    <n v="18"/>
    <n v="79.989999999999995"/>
    <n v="1439.82"/>
    <n v="5"/>
    <n v="1367.829"/>
    <s v="Completed"/>
    <n v="1439.82"/>
    <n v="1359.83"/>
    <x v="9"/>
    <n v="-1287.8389999999999"/>
    <n v="0.99415204678362568"/>
    <n v="75.990499999999997"/>
    <s v="Large"/>
    <s v="Low"/>
  </r>
  <r>
    <s v="ORD-0403"/>
    <s v="2025-10-22"/>
    <x v="5"/>
    <x v="0"/>
    <x v="23"/>
    <x v="0"/>
    <n v="21"/>
    <n v="449"/>
    <n v="9429"/>
    <n v="5"/>
    <n v="8957.5499999999993"/>
    <s v="Completed"/>
    <n v="9429"/>
    <n v="8980"/>
    <x v="9"/>
    <n v="-8508.5499999999993"/>
    <n v="1.0025062656641606"/>
    <n v="426.54999999999995"/>
    <s v="Large"/>
    <s v="High"/>
  </r>
  <r>
    <s v="ORD-0158"/>
    <s v="2025-10-23"/>
    <x v="8"/>
    <x v="3"/>
    <x v="1"/>
    <x v="1"/>
    <n v="6"/>
    <n v="999"/>
    <n v="5994"/>
    <n v="5"/>
    <n v="5694.3"/>
    <s v="Completed"/>
    <n v="5994"/>
    <n v="4995"/>
    <x v="9"/>
    <n v="-4695.3"/>
    <n v="0.8771929824561403"/>
    <n v="949.05000000000007"/>
    <s v="Small"/>
    <s v="High"/>
  </r>
  <r>
    <s v="ORD-0011"/>
    <s v="2025-10-24"/>
    <x v="8"/>
    <x v="3"/>
    <x v="1"/>
    <x v="1"/>
    <n v="22"/>
    <n v="999"/>
    <n v="21978"/>
    <n v="5"/>
    <n v="20879.099999999999"/>
    <s v="Completed"/>
    <n v="21978"/>
    <n v="20979"/>
    <x v="9"/>
    <n v="-19880.099999999999"/>
    <n v="1.0047846889952154"/>
    <n v="949.05"/>
    <s v="Large"/>
    <s v="High"/>
  </r>
  <r>
    <s v="ORD-0264"/>
    <s v="2025-10-24"/>
    <x v="1"/>
    <x v="1"/>
    <x v="14"/>
    <x v="3"/>
    <n v="21"/>
    <n v="299"/>
    <n v="6279"/>
    <n v="10"/>
    <n v="5651.1"/>
    <s v="Completed"/>
    <n v="6279"/>
    <n v="5980"/>
    <x v="9"/>
    <n v="-5352.1"/>
    <n v="1.0582010582010581"/>
    <n v="269.10000000000002"/>
    <s v="Large"/>
    <s v="High"/>
  </r>
  <r>
    <s v="ORD-0341"/>
    <s v="2025-10-25"/>
    <x v="7"/>
    <x v="2"/>
    <x v="12"/>
    <x v="3"/>
    <n v="12"/>
    <n v="149"/>
    <n v="1788"/>
    <n v="0"/>
    <n v="1788"/>
    <s v="Completed"/>
    <n v="1788"/>
    <n v="1639"/>
    <x v="9"/>
    <n v="-1639"/>
    <n v="0.91666666666666663"/>
    <n v="149"/>
    <s v="Large"/>
    <s v="High"/>
  </r>
  <r>
    <s v="ORD-0154"/>
    <s v="2025-10-26"/>
    <x v="5"/>
    <x v="0"/>
    <x v="14"/>
    <x v="3"/>
    <n v="20"/>
    <n v="299"/>
    <n v="5980"/>
    <n v="12"/>
    <n v="5262.4"/>
    <s v="Completed"/>
    <n v="5980"/>
    <n v="5681"/>
    <x v="9"/>
    <n v="-4963.3999999999996"/>
    <n v="1.0795454545454546"/>
    <n v="263.12"/>
    <s v="Large"/>
    <s v="High"/>
  </r>
  <r>
    <s v="ORD-0200"/>
    <s v="2025-10-30"/>
    <x v="1"/>
    <x v="1"/>
    <x v="19"/>
    <x v="0"/>
    <n v="12"/>
    <n v="199"/>
    <n v="2388"/>
    <n v="5"/>
    <n v="2268.6"/>
    <s v="Completed"/>
    <n v="2388"/>
    <n v="2189"/>
    <x v="9"/>
    <n v="-2069.6"/>
    <n v="0.96491228070175439"/>
    <n v="189.04999999999998"/>
    <s v="Large"/>
    <s v="High"/>
  </r>
  <r>
    <s v="ORD-0205"/>
    <s v="2025-10-30"/>
    <x v="7"/>
    <x v="2"/>
    <x v="18"/>
    <x v="3"/>
    <n v="5"/>
    <n v="99"/>
    <n v="495"/>
    <n v="0"/>
    <n v="495"/>
    <s v="Completed"/>
    <n v="495"/>
    <n v="396"/>
    <x v="9"/>
    <n v="-396"/>
    <n v="0.8"/>
    <n v="99"/>
    <s v="Small"/>
    <s v="High"/>
  </r>
  <r>
    <s v="ORD-0027"/>
    <s v="2025-11-02"/>
    <x v="0"/>
    <x v="0"/>
    <x v="24"/>
    <x v="0"/>
    <n v="30"/>
    <n v="39.99"/>
    <n v="1199.7"/>
    <n v="0"/>
    <n v="1199.7"/>
    <s v="Pending"/>
    <n v="1199.7"/>
    <n v="1159.71"/>
    <x v="10"/>
    <n v="-1159.71"/>
    <n v="0.96666666666666667"/>
    <n v="39.99"/>
    <s v="Large"/>
    <s v="Low"/>
  </r>
  <r>
    <s v="ORD-0392"/>
    <s v="2025-11-02"/>
    <x v="5"/>
    <x v="0"/>
    <x v="10"/>
    <x v="1"/>
    <n v="8"/>
    <n v="249"/>
    <n v="1992"/>
    <n v="5"/>
    <n v="1892.3999999999999"/>
    <s v="Completed"/>
    <n v="1992"/>
    <n v="1743"/>
    <x v="10"/>
    <n v="-1643.3999999999999"/>
    <n v="0.92105263157894746"/>
    <n v="236.54999999999998"/>
    <s v="Small"/>
    <s v="High"/>
  </r>
  <r>
    <s v="ORD-0061"/>
    <s v="2025-11-03"/>
    <x v="2"/>
    <x v="1"/>
    <x v="8"/>
    <x v="1"/>
    <n v="22"/>
    <n v="1299"/>
    <n v="28578"/>
    <n v="15"/>
    <n v="24291.3"/>
    <s v="Pending"/>
    <n v="28578"/>
    <n v="27279"/>
    <x v="10"/>
    <n v="-22992.3"/>
    <n v="1.1229946524064172"/>
    <n v="1104.1499999999999"/>
    <s v="Large"/>
    <s v="High"/>
  </r>
  <r>
    <s v="ORD-0380"/>
    <s v="2025-11-03"/>
    <x v="6"/>
    <x v="3"/>
    <x v="6"/>
    <x v="2"/>
    <n v="6"/>
    <n v="59.99"/>
    <n v="359.94"/>
    <n v="10"/>
    <n v="323.94600000000003"/>
    <s v="Completed"/>
    <n v="359.94"/>
    <n v="299.95"/>
    <x v="10"/>
    <n v="-263.95600000000002"/>
    <n v="0.92592592592592582"/>
    <n v="53.991000000000007"/>
    <s v="Small"/>
    <s v="High"/>
  </r>
  <r>
    <s v="ORD-0499"/>
    <s v="2025-11-03"/>
    <x v="0"/>
    <x v="0"/>
    <x v="9"/>
    <x v="0"/>
    <n v="9"/>
    <n v="549"/>
    <n v="4941"/>
    <n v="10"/>
    <n v="4446.9000000000005"/>
    <s v="Completed"/>
    <n v="4941"/>
    <n v="4392"/>
    <x v="10"/>
    <n v="-3897.9000000000005"/>
    <n v="0.98765432098765416"/>
    <n v="494.10000000000008"/>
    <s v="Small"/>
    <s v="Low"/>
  </r>
  <r>
    <s v="ORD-0086"/>
    <s v="2025-11-05"/>
    <x v="1"/>
    <x v="1"/>
    <x v="12"/>
    <x v="3"/>
    <n v="13"/>
    <n v="149"/>
    <n v="1937"/>
    <n v="0"/>
    <n v="1937"/>
    <s v="Completed"/>
    <n v="1937"/>
    <n v="1788"/>
    <x v="10"/>
    <n v="-1788"/>
    <n v="0.92307692307692313"/>
    <n v="149"/>
    <s v="Large"/>
    <s v="High"/>
  </r>
  <r>
    <s v="ORD-0232"/>
    <s v="2025-11-05"/>
    <x v="3"/>
    <x v="2"/>
    <x v="20"/>
    <x v="0"/>
    <n v="2"/>
    <n v="169"/>
    <n v="338"/>
    <n v="15"/>
    <n v="287.3"/>
    <s v="Completed"/>
    <n v="338"/>
    <n v="169"/>
    <x v="10"/>
    <n v="-118.30000000000001"/>
    <n v="0.58823529411764708"/>
    <n v="143.65"/>
    <s v="Small"/>
    <s v="High"/>
  </r>
  <r>
    <s v="ORD-0060"/>
    <s v="2025-11-06"/>
    <x v="7"/>
    <x v="2"/>
    <x v="11"/>
    <x v="2"/>
    <n v="6"/>
    <n v="49.99"/>
    <n v="299.94"/>
    <n v="12"/>
    <n v="263.94720000000001"/>
    <s v="Completed"/>
    <n v="299.94"/>
    <n v="249.95"/>
    <x v="10"/>
    <n v="-213.9572"/>
    <n v="0.94696969696969691"/>
    <n v="43.991199999999999"/>
    <s v="Small"/>
    <s v="Low"/>
  </r>
  <r>
    <s v="ORD-0214"/>
    <s v="2025-11-06"/>
    <x v="3"/>
    <x v="2"/>
    <x v="13"/>
    <x v="3"/>
    <n v="3"/>
    <n v="59.99"/>
    <n v="179.97"/>
    <n v="12"/>
    <n v="158.37360000000001"/>
    <s v="Pending"/>
    <n v="179.97"/>
    <n v="119.97999999999999"/>
    <x v="10"/>
    <n v="-98.383600000000001"/>
    <n v="0.75757575757575746"/>
    <n v="52.791200000000003"/>
    <s v="Small"/>
    <s v="Low"/>
  </r>
  <r>
    <s v="ORD-0150"/>
    <s v="2025-11-09"/>
    <x v="5"/>
    <x v="0"/>
    <x v="11"/>
    <x v="2"/>
    <n v="28"/>
    <n v="49.99"/>
    <n v="1399.72"/>
    <n v="10"/>
    <n v="1259.748"/>
    <s v="Completed"/>
    <n v="1399.72"/>
    <n v="1349.73"/>
    <x v="10"/>
    <n v="-1209.758"/>
    <n v="1.0714285714285714"/>
    <n v="44.991"/>
    <s v="Large"/>
    <s v="Low"/>
  </r>
  <r>
    <s v="ORD-0328"/>
    <s v="2025-11-10"/>
    <x v="8"/>
    <x v="3"/>
    <x v="6"/>
    <x v="2"/>
    <n v="22"/>
    <n v="59.99"/>
    <n v="1319.78"/>
    <n v="5"/>
    <n v="1253.7909999999999"/>
    <s v="Completed"/>
    <n v="1319.78"/>
    <n v="1259.79"/>
    <x v="10"/>
    <n v="-1193.8009999999999"/>
    <n v="1.0047846889952152"/>
    <n v="56.990499999999997"/>
    <s v="Large"/>
    <s v="High"/>
  </r>
  <r>
    <s v="ORD-0257"/>
    <s v="2025-11-12"/>
    <x v="1"/>
    <x v="1"/>
    <x v="16"/>
    <x v="1"/>
    <n v="10"/>
    <n v="599"/>
    <n v="5990"/>
    <n v="12"/>
    <n v="5271.2"/>
    <s v="Completed"/>
    <n v="5990"/>
    <n v="5391"/>
    <x v="10"/>
    <n v="-4672.2"/>
    <n v="1.0227272727272727"/>
    <n v="527.12"/>
    <s v="Large"/>
    <s v="High"/>
  </r>
  <r>
    <s v="ORD-0491"/>
    <s v="2025-11-12"/>
    <x v="7"/>
    <x v="2"/>
    <x v="16"/>
    <x v="1"/>
    <n v="3"/>
    <n v="599"/>
    <n v="1797"/>
    <n v="0"/>
    <n v="1797"/>
    <s v="Completed"/>
    <n v="1797"/>
    <n v="1198"/>
    <x v="10"/>
    <n v="-1198"/>
    <n v="0.66666666666666663"/>
    <n v="599"/>
    <s v="Small"/>
    <s v="High"/>
  </r>
  <r>
    <s v="ORD-0249"/>
    <s v="2025-11-13"/>
    <x v="4"/>
    <x v="3"/>
    <x v="8"/>
    <x v="1"/>
    <n v="6"/>
    <n v="1299"/>
    <n v="7794"/>
    <n v="5"/>
    <n v="7404.2999999999993"/>
    <s v="Completed"/>
    <n v="7794"/>
    <n v="6495"/>
    <x v="10"/>
    <n v="-6105.2999999999993"/>
    <n v="0.87719298245614041"/>
    <n v="1234.05"/>
    <s v="Small"/>
    <s v="High"/>
  </r>
  <r>
    <s v="ORD-0091"/>
    <s v="2025-11-14"/>
    <x v="6"/>
    <x v="3"/>
    <x v="6"/>
    <x v="2"/>
    <n v="3"/>
    <n v="59.99"/>
    <n v="179.97"/>
    <n v="5"/>
    <n v="170.97149999999999"/>
    <s v="Completed"/>
    <n v="179.97"/>
    <n v="119.97999999999999"/>
    <x v="10"/>
    <n v="-110.98149999999998"/>
    <n v="0.70175438596491224"/>
    <n v="56.990499999999997"/>
    <s v="Small"/>
    <s v="High"/>
  </r>
  <r>
    <s v="ORD-0285"/>
    <s v="2025-11-14"/>
    <x v="6"/>
    <x v="3"/>
    <x v="12"/>
    <x v="3"/>
    <n v="5"/>
    <n v="149"/>
    <n v="745"/>
    <n v="8"/>
    <n v="685.4"/>
    <s v="Pending"/>
    <n v="745"/>
    <n v="596"/>
    <x v="10"/>
    <n v="-536.4"/>
    <n v="0.86956521739130432"/>
    <n v="137.07999999999998"/>
    <s v="Small"/>
    <s v="Low"/>
  </r>
  <r>
    <s v="ORD-0286"/>
    <s v="2025-11-14"/>
    <x v="1"/>
    <x v="1"/>
    <x v="22"/>
    <x v="1"/>
    <n v="20"/>
    <n v="79.989999999999995"/>
    <n v="1599.8"/>
    <n v="0"/>
    <n v="1599.8"/>
    <s v="Completed"/>
    <n v="1599.8"/>
    <n v="1519.81"/>
    <x v="10"/>
    <n v="-1519.81"/>
    <n v="0.95"/>
    <n v="79.989999999999995"/>
    <s v="Large"/>
    <s v="Low"/>
  </r>
  <r>
    <s v="ORD-0173"/>
    <s v="2025-11-15"/>
    <x v="6"/>
    <x v="3"/>
    <x v="2"/>
    <x v="2"/>
    <n v="23"/>
    <n v="29.99"/>
    <n v="689.77"/>
    <n v="0"/>
    <n v="689.77"/>
    <s v="Completed"/>
    <n v="689.77"/>
    <n v="659.78"/>
    <x v="10"/>
    <n v="-659.78"/>
    <n v="0.95652173913043481"/>
    <n v="29.99"/>
    <s v="Large"/>
    <s v="High"/>
  </r>
  <r>
    <s v="ORD-0417"/>
    <s v="2025-11-15"/>
    <x v="4"/>
    <x v="3"/>
    <x v="15"/>
    <x v="1"/>
    <n v="13"/>
    <n v="149.99"/>
    <n v="1949.8700000000001"/>
    <n v="15"/>
    <n v="1657.3895"/>
    <s v="Pending"/>
    <n v="1949.8700000000001"/>
    <n v="1799.88"/>
    <x v="10"/>
    <n v="-1507.3995"/>
    <n v="1.0859728506787332"/>
    <n v="127.4915"/>
    <s v="Large"/>
    <s v="Low"/>
  </r>
  <r>
    <s v="ORD-0034"/>
    <s v="2025-11-16"/>
    <x v="2"/>
    <x v="1"/>
    <x v="7"/>
    <x v="3"/>
    <n v="24"/>
    <n v="49.99"/>
    <n v="1199.76"/>
    <n v="5"/>
    <n v="1139.7719999999999"/>
    <s v="Completed"/>
    <n v="1199.76"/>
    <n v="1149.77"/>
    <x v="10"/>
    <n v="-1089.7819999999999"/>
    <n v="1.0087719298245614"/>
    <n v="47.490499999999997"/>
    <s v="Large"/>
    <s v="High"/>
  </r>
  <r>
    <s v="ORD-0083"/>
    <s v="2025-11-18"/>
    <x v="1"/>
    <x v="1"/>
    <x v="5"/>
    <x v="1"/>
    <n v="22"/>
    <n v="399"/>
    <n v="8778"/>
    <n v="8"/>
    <n v="8075.76"/>
    <s v="Pending"/>
    <n v="8778"/>
    <n v="8379"/>
    <x v="10"/>
    <n v="-7676.76"/>
    <n v="1.0375494071146245"/>
    <n v="367.08"/>
    <s v="Large"/>
    <s v="High"/>
  </r>
  <r>
    <s v="ORD-0139"/>
    <s v="2025-11-20"/>
    <x v="4"/>
    <x v="3"/>
    <x v="2"/>
    <x v="2"/>
    <n v="4"/>
    <n v="29.99"/>
    <n v="119.96"/>
    <n v="5"/>
    <n v="113.96199999999999"/>
    <s v="Completed"/>
    <n v="119.96"/>
    <n v="89.97"/>
    <x v="10"/>
    <n v="-83.971999999999994"/>
    <n v="0.78947368421052633"/>
    <n v="28.490499999999997"/>
    <s v="Small"/>
    <s v="High"/>
  </r>
  <r>
    <s v="ORD-0098"/>
    <s v="2025-11-21"/>
    <x v="5"/>
    <x v="0"/>
    <x v="12"/>
    <x v="3"/>
    <n v="17"/>
    <n v="149"/>
    <n v="2533"/>
    <n v="15"/>
    <n v="2153.0499999999997"/>
    <s v="Cancelled"/>
    <n v="2533"/>
    <n v="2384"/>
    <x v="10"/>
    <n v="-2004.0499999999997"/>
    <n v="1.1072664359861593"/>
    <n v="126.64999999999998"/>
    <s v="Large"/>
    <s v="Low"/>
  </r>
  <r>
    <s v="ORD-0347"/>
    <s v="2025-11-21"/>
    <x v="1"/>
    <x v="1"/>
    <x v="19"/>
    <x v="0"/>
    <n v="3"/>
    <n v="199"/>
    <n v="597"/>
    <n v="0"/>
    <n v="597"/>
    <s v="Pending"/>
    <n v="597"/>
    <n v="398"/>
    <x v="10"/>
    <n v="-398"/>
    <n v="0.66666666666666663"/>
    <n v="199"/>
    <s v="Small"/>
    <s v="High"/>
  </r>
  <r>
    <s v="ORD-0459"/>
    <s v="2025-11-24"/>
    <x v="5"/>
    <x v="0"/>
    <x v="16"/>
    <x v="1"/>
    <n v="26"/>
    <n v="599"/>
    <n v="15574"/>
    <n v="12"/>
    <n v="13705.12"/>
    <s v="Completed"/>
    <n v="15574"/>
    <n v="14975"/>
    <x v="10"/>
    <n v="-13106.12"/>
    <n v="1.0926573426573425"/>
    <n v="527.12"/>
    <s v="Large"/>
    <s v="Low"/>
  </r>
  <r>
    <s v="ORD-0165"/>
    <s v="2025-11-25"/>
    <x v="5"/>
    <x v="0"/>
    <x v="21"/>
    <x v="2"/>
    <n v="14"/>
    <n v="79.989999999999995"/>
    <n v="1119.8599999999999"/>
    <n v="8"/>
    <n v="1030.2711999999999"/>
    <s v="Pending"/>
    <n v="1119.8599999999999"/>
    <n v="1039.8699999999999"/>
    <x v="10"/>
    <n v="-950.2811999999999"/>
    <n v="1.0093167701863355"/>
    <n v="73.590799999999987"/>
    <s v="Large"/>
    <s v="High"/>
  </r>
  <r>
    <s v="ORD-0327"/>
    <s v="2025-11-25"/>
    <x v="6"/>
    <x v="3"/>
    <x v="15"/>
    <x v="1"/>
    <n v="18"/>
    <n v="149.99"/>
    <n v="2699.82"/>
    <n v="5"/>
    <n v="2564.8290000000002"/>
    <s v="Completed"/>
    <n v="2699.82"/>
    <n v="2549.83"/>
    <x v="10"/>
    <n v="-2414.8389999999999"/>
    <n v="0.99415204678362568"/>
    <n v="142.4905"/>
    <s v="Large"/>
    <s v="High"/>
  </r>
  <r>
    <s v="ORD-0442"/>
    <s v="2025-11-25"/>
    <x v="4"/>
    <x v="3"/>
    <x v="2"/>
    <x v="2"/>
    <n v="27"/>
    <n v="29.99"/>
    <n v="809.7299999999999"/>
    <n v="8"/>
    <n v="744.95159999999998"/>
    <s v="Completed"/>
    <n v="809.7299999999999"/>
    <n v="779.7399999999999"/>
    <x v="10"/>
    <n v="-714.96159999999998"/>
    <n v="1.0466988727858293"/>
    <n v="27.590799999999998"/>
    <s v="Large"/>
    <s v="High"/>
  </r>
  <r>
    <s v="ORD-0129"/>
    <s v="2025-11-27"/>
    <x v="1"/>
    <x v="1"/>
    <x v="18"/>
    <x v="3"/>
    <n v="19"/>
    <n v="99"/>
    <n v="1881"/>
    <n v="5"/>
    <n v="1786.9499999999998"/>
    <s v="Completed"/>
    <n v="1881"/>
    <n v="1782"/>
    <x v="10"/>
    <n v="-1687.9499999999998"/>
    <n v="0.99722991689750706"/>
    <n v="94.05"/>
    <s v="Large"/>
    <s v="Low"/>
  </r>
  <r>
    <s v="ORD-0272"/>
    <s v="2025-11-27"/>
    <x v="5"/>
    <x v="0"/>
    <x v="4"/>
    <x v="0"/>
    <n v="25"/>
    <n v="299"/>
    <n v="7475"/>
    <n v="12"/>
    <n v="6578"/>
    <s v="Pending"/>
    <n v="7475"/>
    <n v="7176"/>
    <x v="10"/>
    <n v="-6279"/>
    <n v="1.0909090909090908"/>
    <n v="263.12"/>
    <s v="Large"/>
    <s v="High"/>
  </r>
  <r>
    <s v="ORD-0413"/>
    <s v="2025-11-28"/>
    <x v="8"/>
    <x v="3"/>
    <x v="15"/>
    <x v="1"/>
    <n v="5"/>
    <n v="149.99"/>
    <n v="749.95"/>
    <n v="12"/>
    <n v="659.95600000000002"/>
    <s v="Completed"/>
    <n v="749.95"/>
    <n v="599.96"/>
    <x v="10"/>
    <n v="-509.96600000000001"/>
    <n v="0.90909090909090917"/>
    <n v="131.99119999999999"/>
    <s v="Small"/>
    <s v="High"/>
  </r>
  <r>
    <s v="ORD-0236"/>
    <s v="2025-11-29"/>
    <x v="6"/>
    <x v="3"/>
    <x v="13"/>
    <x v="3"/>
    <n v="19"/>
    <n v="59.99"/>
    <n v="1139.81"/>
    <n v="15"/>
    <n v="968.83849999999995"/>
    <s v="Completed"/>
    <n v="1139.81"/>
    <n v="1079.82"/>
    <x v="10"/>
    <n v="-908.84849999999994"/>
    <n v="1.1145510835913313"/>
    <n v="50.991499999999995"/>
    <s v="Large"/>
    <s v="Low"/>
  </r>
  <r>
    <s v="ORD-0389"/>
    <s v="2025-11-29"/>
    <x v="0"/>
    <x v="0"/>
    <x v="24"/>
    <x v="0"/>
    <n v="7"/>
    <n v="39.99"/>
    <n v="279.93"/>
    <n v="15"/>
    <n v="237.94049999999999"/>
    <s v="Pending"/>
    <n v="279.93"/>
    <n v="239.94"/>
    <x v="10"/>
    <n v="-197.95049999999998"/>
    <n v="1.0084033613445378"/>
    <n v="33.991499999999995"/>
    <s v="Small"/>
    <s v="Low"/>
  </r>
  <r>
    <s v="ORD-0486"/>
    <s v="2025-12-01"/>
    <x v="7"/>
    <x v="2"/>
    <x v="20"/>
    <x v="0"/>
    <n v="25"/>
    <n v="169"/>
    <n v="4225"/>
    <n v="10"/>
    <n v="3802.5"/>
    <s v="Completed"/>
    <n v="4225"/>
    <n v="4056"/>
    <x v="11"/>
    <n v="-3633.5"/>
    <n v="1.0666666666666667"/>
    <n v="152.1"/>
    <s v="Large"/>
    <s v="Low"/>
  </r>
  <r>
    <s v="ORD-0213"/>
    <s v="2025-12-02"/>
    <x v="9"/>
    <x v="1"/>
    <x v="20"/>
    <x v="0"/>
    <n v="29"/>
    <n v="169"/>
    <n v="4901"/>
    <n v="15"/>
    <n v="4165.8499999999995"/>
    <s v="Completed"/>
    <n v="4901"/>
    <n v="4732"/>
    <x v="11"/>
    <n v="-3996.8499999999995"/>
    <n v="1.1359026369168359"/>
    <n v="143.64999999999998"/>
    <s v="Large"/>
    <s v="High"/>
  </r>
  <r>
    <s v="ORD-0365"/>
    <s v="2025-12-02"/>
    <x v="1"/>
    <x v="1"/>
    <x v="2"/>
    <x v="2"/>
    <n v="28"/>
    <n v="29.99"/>
    <n v="839.71999999999991"/>
    <n v="0"/>
    <n v="839.71999999999991"/>
    <s v="Completed"/>
    <n v="839.71999999999991"/>
    <n v="809.7299999999999"/>
    <x v="11"/>
    <n v="-809.7299999999999"/>
    <n v="0.9642857142857143"/>
    <n v="29.99"/>
    <s v="Large"/>
    <s v="High"/>
  </r>
  <r>
    <s v="ORD-0424"/>
    <s v="2025-12-02"/>
    <x v="6"/>
    <x v="3"/>
    <x v="0"/>
    <x v="0"/>
    <n v="5"/>
    <n v="129"/>
    <n v="645"/>
    <n v="0"/>
    <n v="645"/>
    <s v="Completed"/>
    <n v="645"/>
    <n v="516"/>
    <x v="11"/>
    <n v="-516"/>
    <n v="0.8"/>
    <n v="129"/>
    <s v="Small"/>
    <s v="Low"/>
  </r>
  <r>
    <s v="ORD-0243"/>
    <s v="2025-12-04"/>
    <x v="2"/>
    <x v="1"/>
    <x v="1"/>
    <x v="1"/>
    <n v="19"/>
    <n v="999"/>
    <n v="18981"/>
    <n v="15"/>
    <n v="16133.85"/>
    <s v="Pending"/>
    <n v="18981"/>
    <n v="17982"/>
    <x v="11"/>
    <n v="-15134.85"/>
    <n v="1.1145510835913313"/>
    <n v="849.15"/>
    <s v="Large"/>
    <s v="Low"/>
  </r>
  <r>
    <s v="ORD-0038"/>
    <s v="2025-12-05"/>
    <x v="9"/>
    <x v="1"/>
    <x v="2"/>
    <x v="2"/>
    <n v="3"/>
    <n v="29.99"/>
    <n v="89.97"/>
    <n v="0"/>
    <n v="89.97"/>
    <s v="Completed"/>
    <n v="89.97"/>
    <n v="59.980000000000004"/>
    <x v="11"/>
    <n v="-59.980000000000004"/>
    <n v="0.66666666666666674"/>
    <n v="29.99"/>
    <s v="Small"/>
    <s v="High"/>
  </r>
  <r>
    <s v="ORD-0078"/>
    <s v="2025-12-06"/>
    <x v="2"/>
    <x v="1"/>
    <x v="3"/>
    <x v="2"/>
    <n v="22"/>
    <n v="19.989999999999998"/>
    <n v="439.78"/>
    <n v="15"/>
    <n v="373.81299999999999"/>
    <s v="Completed"/>
    <n v="439.78"/>
    <n v="419.78999999999996"/>
    <x v="11"/>
    <n v="-353.82299999999998"/>
    <n v="1.1229946524064172"/>
    <n v="16.991499999999998"/>
    <s v="Large"/>
    <s v="Low"/>
  </r>
  <r>
    <s v="ORD-0317"/>
    <s v="2025-12-07"/>
    <x v="7"/>
    <x v="2"/>
    <x v="2"/>
    <x v="2"/>
    <n v="24"/>
    <n v="29.99"/>
    <n v="719.76"/>
    <n v="0"/>
    <n v="719.76"/>
    <s v="Completed"/>
    <n v="719.76"/>
    <n v="689.77"/>
    <x v="11"/>
    <n v="-689.77"/>
    <n v="0.95833333333333337"/>
    <n v="29.99"/>
    <s v="Large"/>
    <s v="Low"/>
  </r>
  <r>
    <s v="ORD-0284"/>
    <s v="2025-12-08"/>
    <x v="4"/>
    <x v="3"/>
    <x v="18"/>
    <x v="3"/>
    <n v="28"/>
    <n v="99"/>
    <n v="2772"/>
    <n v="0"/>
    <n v="2772"/>
    <s v="Completed"/>
    <n v="2772"/>
    <n v="2673"/>
    <x v="11"/>
    <n v="-2673"/>
    <n v="0.9642857142857143"/>
    <n v="99"/>
    <s v="Large"/>
    <s v="Low"/>
  </r>
  <r>
    <s v="ORD-0378"/>
    <s v="2025-12-08"/>
    <x v="9"/>
    <x v="1"/>
    <x v="1"/>
    <x v="1"/>
    <n v="2"/>
    <n v="999"/>
    <n v="1998"/>
    <n v="0"/>
    <n v="1998"/>
    <s v="Completed"/>
    <n v="1998"/>
    <n v="999"/>
    <x v="11"/>
    <n v="-999"/>
    <n v="0.5"/>
    <n v="999"/>
    <s v="Small"/>
    <s v="High"/>
  </r>
  <r>
    <s v="ORD-0407"/>
    <s v="2025-12-10"/>
    <x v="4"/>
    <x v="3"/>
    <x v="19"/>
    <x v="0"/>
    <n v="20"/>
    <n v="199"/>
    <n v="3980"/>
    <n v="0"/>
    <n v="3980"/>
    <s v="Completed"/>
    <n v="3980"/>
    <n v="3781"/>
    <x v="11"/>
    <n v="-3781"/>
    <n v="0.95"/>
    <n v="199"/>
    <s v="Large"/>
    <s v="High"/>
  </r>
  <r>
    <s v="ORD-0131"/>
    <s v="2025-12-11"/>
    <x v="5"/>
    <x v="0"/>
    <x v="19"/>
    <x v="0"/>
    <n v="20"/>
    <n v="199"/>
    <n v="3980"/>
    <n v="10"/>
    <n v="3582"/>
    <s v="Completed"/>
    <n v="3980"/>
    <n v="3781"/>
    <x v="11"/>
    <n v="-3383"/>
    <n v="1.0555555555555556"/>
    <n v="179.1"/>
    <s v="Large"/>
    <s v="High"/>
  </r>
  <r>
    <s v="ORD-0187"/>
    <s v="2025-12-13"/>
    <x v="0"/>
    <x v="0"/>
    <x v="5"/>
    <x v="1"/>
    <n v="16"/>
    <n v="399"/>
    <n v="6384"/>
    <n v="5"/>
    <n v="6064.7999999999993"/>
    <s v="Completed"/>
    <n v="6384"/>
    <n v="5985"/>
    <x v="11"/>
    <n v="-5665.7999999999993"/>
    <n v="0.98684210526315796"/>
    <n v="379.04999999999995"/>
    <s v="Large"/>
    <s v="High"/>
  </r>
  <r>
    <s v="ORD-0137"/>
    <s v="2025-12-19"/>
    <x v="6"/>
    <x v="3"/>
    <x v="21"/>
    <x v="2"/>
    <n v="16"/>
    <n v="79.989999999999995"/>
    <n v="1279.8399999999999"/>
    <n v="15"/>
    <n v="1087.8639999999998"/>
    <s v="Completed"/>
    <n v="1279.8399999999999"/>
    <n v="1199.8499999999999"/>
    <x v="11"/>
    <n v="-1007.8739999999998"/>
    <n v="1.1029411764705883"/>
    <n v="67.991499999999988"/>
    <s v="Large"/>
    <s v="High"/>
  </r>
  <r>
    <s v="ORD-0348"/>
    <s v="2025-12-19"/>
    <x v="8"/>
    <x v="3"/>
    <x v="4"/>
    <x v="0"/>
    <n v="15"/>
    <n v="299"/>
    <n v="4485"/>
    <n v="15"/>
    <n v="3812.25"/>
    <s v="Completed"/>
    <n v="4485"/>
    <n v="4186"/>
    <x v="11"/>
    <n v="-3513.25"/>
    <n v="1.0980392156862746"/>
    <n v="254.15"/>
    <s v="Large"/>
    <s v="High"/>
  </r>
  <r>
    <s v="ORD-0445"/>
    <s v="2025-12-19"/>
    <x v="1"/>
    <x v="1"/>
    <x v="0"/>
    <x v="0"/>
    <n v="16"/>
    <n v="129"/>
    <n v="2064"/>
    <n v="0"/>
    <n v="2064"/>
    <s v="Pending"/>
    <n v="2064"/>
    <n v="1935"/>
    <x v="11"/>
    <n v="-1935"/>
    <n v="0.9375"/>
    <n v="129"/>
    <s v="Large"/>
    <s v="High"/>
  </r>
  <r>
    <s v="ORD-0197"/>
    <s v="2025-12-20"/>
    <x v="2"/>
    <x v="1"/>
    <x v="15"/>
    <x v="1"/>
    <n v="3"/>
    <n v="149.99"/>
    <n v="449.97"/>
    <n v="12"/>
    <n v="395.97360000000003"/>
    <s v="Completed"/>
    <n v="449.97"/>
    <n v="299.98"/>
    <x v="11"/>
    <n v="-245.98360000000002"/>
    <n v="0.75757575757575757"/>
    <n v="131.99120000000002"/>
    <s v="Small"/>
    <s v="High"/>
  </r>
  <r>
    <s v="ORD-0361"/>
    <s v="2025-12-20"/>
    <x v="6"/>
    <x v="3"/>
    <x v="22"/>
    <x v="1"/>
    <n v="11"/>
    <n v="79.989999999999995"/>
    <n v="879.89"/>
    <n v="8"/>
    <n v="809.49880000000007"/>
    <s v="Completed"/>
    <n v="879.89"/>
    <n v="799.9"/>
    <x v="11"/>
    <n v="-729.50880000000006"/>
    <n v="0.98814229249011842"/>
    <n v="73.590800000000002"/>
    <s v="Large"/>
    <s v="Low"/>
  </r>
  <r>
    <s v="ORD-0351"/>
    <s v="2025-12-21"/>
    <x v="0"/>
    <x v="0"/>
    <x v="15"/>
    <x v="1"/>
    <n v="11"/>
    <n v="149.99"/>
    <n v="1649.89"/>
    <n v="5"/>
    <n v="1567.3955000000001"/>
    <s v="Completed"/>
    <n v="1649.89"/>
    <n v="1499.9"/>
    <x v="11"/>
    <n v="-1417.4055000000001"/>
    <n v="0.9569377990430622"/>
    <n v="142.4905"/>
    <s v="Large"/>
    <s v="Low"/>
  </r>
  <r>
    <s v="ORD-0436"/>
    <s v="2025-12-21"/>
    <x v="1"/>
    <x v="1"/>
    <x v="2"/>
    <x v="2"/>
    <n v="8"/>
    <n v="29.99"/>
    <n v="239.92"/>
    <n v="12"/>
    <n v="211.12959999999998"/>
    <s v="Completed"/>
    <n v="239.92"/>
    <n v="209.92999999999998"/>
    <x v="11"/>
    <n v="-181.13959999999997"/>
    <n v="0.99431818181818177"/>
    <n v="26.391199999999998"/>
    <s v="Small"/>
    <s v="High"/>
  </r>
  <r>
    <s v="ORD-0269"/>
    <s v="2025-12-24"/>
    <x v="8"/>
    <x v="3"/>
    <x v="24"/>
    <x v="0"/>
    <n v="17"/>
    <n v="39.99"/>
    <n v="679.83"/>
    <n v="5"/>
    <n v="645.83849999999995"/>
    <s v="Completed"/>
    <n v="679.83"/>
    <n v="639.84"/>
    <x v="11"/>
    <n v="-605.84849999999994"/>
    <n v="0.99071207430340569"/>
    <n v="37.990499999999997"/>
    <s v="Large"/>
    <s v="Low"/>
  </r>
  <r>
    <s v="ORD-0075"/>
    <s v="2025-12-25"/>
    <x v="5"/>
    <x v="0"/>
    <x v="2"/>
    <x v="2"/>
    <n v="7"/>
    <n v="29.99"/>
    <n v="209.92999999999998"/>
    <n v="12"/>
    <n v="184.73839999999998"/>
    <s v="Completed"/>
    <n v="209.92999999999998"/>
    <n v="179.93999999999997"/>
    <x v="11"/>
    <n v="-154.74839999999998"/>
    <n v="0.97402597402597391"/>
    <n v="26.391199999999998"/>
    <s v="Small"/>
    <s v="Low"/>
  </r>
  <r>
    <s v="ORD-0077"/>
    <s v="2025-12-26"/>
    <x v="4"/>
    <x v="3"/>
    <x v="5"/>
    <x v="1"/>
    <n v="25"/>
    <n v="399"/>
    <n v="9975"/>
    <n v="5"/>
    <n v="9476.25"/>
    <s v="Pending"/>
    <n v="9975"/>
    <n v="9576"/>
    <x v="11"/>
    <n v="-9077.25"/>
    <n v="1.0105263157894737"/>
    <n v="379.05"/>
    <s v="Large"/>
    <s v="Low"/>
  </r>
  <r>
    <s v="ORD-0274"/>
    <s v="2025-12-27"/>
    <x v="4"/>
    <x v="3"/>
    <x v="17"/>
    <x v="2"/>
    <n v="19"/>
    <n v="89.99"/>
    <n v="1709.81"/>
    <n v="0"/>
    <n v="1709.81"/>
    <s v="Completed"/>
    <n v="1709.81"/>
    <n v="1619.82"/>
    <x v="11"/>
    <n v="-1619.82"/>
    <n v="0.94736842105263153"/>
    <n v="89.99"/>
    <s v="Large"/>
    <s v="High"/>
  </r>
  <r>
    <s v="ORD-0487"/>
    <s v="2025-12-31"/>
    <x v="4"/>
    <x v="3"/>
    <x v="4"/>
    <x v="0"/>
    <n v="16"/>
    <n v="299"/>
    <n v="4784"/>
    <n v="5"/>
    <n v="4544.8"/>
    <s v="Completed"/>
    <n v="4784"/>
    <n v="4485"/>
    <x v="11"/>
    <n v="-4245.8"/>
    <n v="0.98684210526315785"/>
    <n v="284.05"/>
    <s v="Large"/>
    <s v="High"/>
  </r>
  <r>
    <s v="ORD-0316"/>
    <s v="2026-01-01"/>
    <x v="1"/>
    <x v="1"/>
    <x v="21"/>
    <x v="2"/>
    <n v="9"/>
    <n v="79.989999999999995"/>
    <n v="719.91"/>
    <n v="0"/>
    <n v="719.91"/>
    <s v="Completed"/>
    <n v="719.91"/>
    <n v="639.91999999999996"/>
    <x v="0"/>
    <n v="-639.91999999999996"/>
    <n v="0.88888888888888884"/>
    <n v="79.989999999999995"/>
    <s v="Small"/>
    <s v="High"/>
  </r>
  <r>
    <s v="ORD-0070"/>
    <s v="2026-01-02"/>
    <x v="4"/>
    <x v="3"/>
    <x v="21"/>
    <x v="2"/>
    <n v="29"/>
    <n v="79.989999999999995"/>
    <n v="2319.71"/>
    <n v="0"/>
    <n v="2319.71"/>
    <s v="Completed"/>
    <n v="2319.71"/>
    <n v="2239.7200000000003"/>
    <x v="0"/>
    <n v="-2239.7200000000003"/>
    <n v="0.96551724137931039"/>
    <n v="79.989999999999995"/>
    <s v="Large"/>
    <s v="Low"/>
  </r>
  <r>
    <s v="ORD-0333"/>
    <s v="2026-01-06"/>
    <x v="8"/>
    <x v="3"/>
    <x v="2"/>
    <x v="2"/>
    <n v="25"/>
    <n v="29.99"/>
    <n v="749.75"/>
    <n v="8"/>
    <n v="689.77"/>
    <s v="Completed"/>
    <n v="749.75"/>
    <n v="719.76"/>
    <x v="0"/>
    <n v="-659.78"/>
    <n v="1.0434782608695652"/>
    <n v="27.590799999999998"/>
    <s v="Large"/>
    <s v="High"/>
  </r>
  <r>
    <s v="ORD-0342"/>
    <s v="2026-01-06"/>
    <x v="0"/>
    <x v="0"/>
    <x v="14"/>
    <x v="3"/>
    <n v="23"/>
    <n v="299"/>
    <n v="6877"/>
    <n v="0"/>
    <n v="6877"/>
    <s v="Completed"/>
    <n v="6877"/>
    <n v="6578"/>
    <x v="0"/>
    <n v="-6578"/>
    <n v="0.95652173913043481"/>
    <n v="299"/>
    <s v="Large"/>
    <s v="Low"/>
  </r>
  <r>
    <s v="ORD-0422"/>
    <s v="2026-01-06"/>
    <x v="6"/>
    <x v="3"/>
    <x v="5"/>
    <x v="1"/>
    <n v="17"/>
    <n v="399"/>
    <n v="6783"/>
    <n v="12"/>
    <n v="5969.04"/>
    <s v="Completed"/>
    <n v="6783"/>
    <n v="6384"/>
    <x v="0"/>
    <n v="-5570.04"/>
    <n v="1.0695187165775402"/>
    <n v="351.12"/>
    <s v="Large"/>
    <s v="High"/>
  </r>
  <r>
    <s v="ORD-0030"/>
    <s v="2026-01-07"/>
    <x v="7"/>
    <x v="2"/>
    <x v="23"/>
    <x v="0"/>
    <n v="1"/>
    <n v="449"/>
    <n v="449"/>
    <n v="0"/>
    <n v="449"/>
    <s v="Completed"/>
    <n v="449"/>
    <n v="0"/>
    <x v="0"/>
    <n v="0"/>
    <n v="0"/>
    <n v="449"/>
    <s v="Small"/>
    <s v="High"/>
  </r>
  <r>
    <s v="ORD-0373"/>
    <s v="2026-01-07"/>
    <x v="9"/>
    <x v="1"/>
    <x v="19"/>
    <x v="0"/>
    <n v="18"/>
    <n v="199"/>
    <n v="3582"/>
    <n v="5"/>
    <n v="3402.8999999999996"/>
    <s v="Completed"/>
    <n v="3582"/>
    <n v="3383"/>
    <x v="0"/>
    <n v="-3203.8999999999996"/>
    <n v="0.99415204678362579"/>
    <n v="189.04999999999998"/>
    <s v="Large"/>
    <s v="Low"/>
  </r>
  <r>
    <s v="ORD-0331"/>
    <s v="2026-01-08"/>
    <x v="9"/>
    <x v="1"/>
    <x v="5"/>
    <x v="1"/>
    <n v="22"/>
    <n v="399"/>
    <n v="8778"/>
    <n v="10"/>
    <n v="7900.2"/>
    <s v="Completed"/>
    <n v="8778"/>
    <n v="8379"/>
    <x v="0"/>
    <n v="-7501.2"/>
    <n v="1.0606060606060606"/>
    <n v="359.09999999999997"/>
    <s v="Large"/>
    <s v="High"/>
  </r>
  <r>
    <s v="ORD-0206"/>
    <s v="2026-01-10"/>
    <x v="1"/>
    <x v="1"/>
    <x v="15"/>
    <x v="1"/>
    <n v="7"/>
    <n v="149.99"/>
    <n v="1049.93"/>
    <n v="0"/>
    <n v="1049.93"/>
    <s v="Completed"/>
    <n v="1049.93"/>
    <n v="899.94"/>
    <x v="0"/>
    <n v="-899.94"/>
    <n v="0.8571428571428571"/>
    <n v="149.99"/>
    <s v="Small"/>
    <s v="High"/>
  </r>
  <r>
    <s v="ORD-0376"/>
    <s v="2026-01-10"/>
    <x v="1"/>
    <x v="1"/>
    <x v="21"/>
    <x v="2"/>
    <n v="26"/>
    <n v="79.989999999999995"/>
    <n v="2079.7399999999998"/>
    <n v="8"/>
    <n v="1913.3607999999999"/>
    <s v="Cancelled"/>
    <n v="2079.7399999999998"/>
    <n v="1999.7499999999998"/>
    <x v="0"/>
    <n v="-1833.3707999999999"/>
    <n v="1.0451505016722407"/>
    <n v="73.590800000000002"/>
    <s v="Large"/>
    <s v="High"/>
  </r>
  <r>
    <s v="ORD-0325"/>
    <s v="2026-01-12"/>
    <x v="7"/>
    <x v="2"/>
    <x v="15"/>
    <x v="1"/>
    <n v="16"/>
    <n v="149.99"/>
    <n v="2399.84"/>
    <n v="12"/>
    <n v="2111.8592000000003"/>
    <s v="Completed"/>
    <n v="2399.84"/>
    <n v="2249.8500000000004"/>
    <x v="0"/>
    <n v="-1961.8692000000003"/>
    <n v="1.0653409090909092"/>
    <n v="131.99120000000002"/>
    <s v="Large"/>
    <s v="High"/>
  </r>
  <r>
    <s v="ORD-0418"/>
    <s v="2026-01-12"/>
    <x v="8"/>
    <x v="3"/>
    <x v="13"/>
    <x v="3"/>
    <n v="30"/>
    <n v="59.99"/>
    <n v="1799.7"/>
    <n v="5"/>
    <n v="1709.7149999999999"/>
    <s v="Completed"/>
    <n v="1799.7"/>
    <n v="1739.71"/>
    <x v="0"/>
    <n v="-1649.7249999999999"/>
    <n v="1.0175438596491229"/>
    <n v="56.990499999999997"/>
    <s v="Large"/>
    <s v="High"/>
  </r>
  <r>
    <s v="ORD-0382"/>
    <s v="2026-01-13"/>
    <x v="6"/>
    <x v="3"/>
    <x v="11"/>
    <x v="2"/>
    <n v="16"/>
    <n v="49.99"/>
    <n v="799.84"/>
    <n v="0"/>
    <n v="799.84"/>
    <s v="Completed"/>
    <n v="799.84"/>
    <n v="749.85"/>
    <x v="0"/>
    <n v="-749.85"/>
    <n v="0.9375"/>
    <n v="49.99"/>
    <s v="Large"/>
    <s v="High"/>
  </r>
  <r>
    <s v="ORD-0242"/>
    <s v="2026-01-17"/>
    <x v="8"/>
    <x v="3"/>
    <x v="5"/>
    <x v="1"/>
    <n v="14"/>
    <n v="399"/>
    <n v="5586"/>
    <n v="0"/>
    <n v="5586"/>
    <s v="Completed"/>
    <n v="5586"/>
    <n v="5187"/>
    <x v="0"/>
    <n v="-5187"/>
    <n v="0.9285714285714286"/>
    <n v="399"/>
    <s v="Large"/>
    <s v="Low"/>
  </r>
  <r>
    <s v="ORD-0281"/>
    <s v="2026-01-17"/>
    <x v="2"/>
    <x v="1"/>
    <x v="20"/>
    <x v="0"/>
    <n v="6"/>
    <n v="169"/>
    <n v="1014"/>
    <n v="8"/>
    <n v="932.88"/>
    <s v="Completed"/>
    <n v="1014"/>
    <n v="845"/>
    <x v="0"/>
    <n v="-763.88"/>
    <n v="0.90579710144927539"/>
    <n v="155.47999999999999"/>
    <s v="Small"/>
    <s v="High"/>
  </r>
  <r>
    <s v="ORD-0028"/>
    <s v="2026-01-18"/>
    <x v="2"/>
    <x v="1"/>
    <x v="20"/>
    <x v="0"/>
    <n v="7"/>
    <n v="169"/>
    <n v="1183"/>
    <n v="0"/>
    <n v="1183"/>
    <s v="Cancelled"/>
    <n v="1183"/>
    <n v="1014"/>
    <x v="0"/>
    <n v="-1014"/>
    <n v="0.8571428571428571"/>
    <n v="169"/>
    <s v="Small"/>
    <s v="Low"/>
  </r>
  <r>
    <s v="ORD-0192"/>
    <s v="2026-01-19"/>
    <x v="7"/>
    <x v="2"/>
    <x v="1"/>
    <x v="1"/>
    <n v="10"/>
    <n v="999"/>
    <n v="9990"/>
    <n v="8"/>
    <n v="9190.8000000000011"/>
    <s v="Completed"/>
    <n v="9990"/>
    <n v="8991"/>
    <x v="0"/>
    <n v="-8191.8000000000011"/>
    <n v="0.97826086956521729"/>
    <n v="919.08000000000015"/>
    <s v="Large"/>
    <s v="High"/>
  </r>
  <r>
    <s v="ORD-0122"/>
    <s v="2026-01-20"/>
    <x v="8"/>
    <x v="3"/>
    <x v="19"/>
    <x v="0"/>
    <n v="1"/>
    <n v="199"/>
    <n v="199"/>
    <n v="5"/>
    <n v="189.04999999999998"/>
    <s v="Completed"/>
    <n v="199"/>
    <n v="0"/>
    <x v="0"/>
    <n v="9.9500000000000171"/>
    <n v="0"/>
    <n v="189.04999999999998"/>
    <s v="Small"/>
    <s v="High"/>
  </r>
  <r>
    <s v="ORD-0432"/>
    <s v="2026-01-20"/>
    <x v="1"/>
    <x v="1"/>
    <x v="4"/>
    <x v="0"/>
    <n v="28"/>
    <n v="299"/>
    <n v="8372"/>
    <n v="10"/>
    <n v="7534.8"/>
    <s v="Completed"/>
    <n v="8372"/>
    <n v="8073"/>
    <x v="0"/>
    <n v="-7235.8"/>
    <n v="1.0714285714285714"/>
    <n v="269.10000000000002"/>
    <s v="Large"/>
    <s v="Low"/>
  </r>
  <r>
    <s v="ORD-0292"/>
    <s v="2026-01-21"/>
    <x v="7"/>
    <x v="2"/>
    <x v="7"/>
    <x v="3"/>
    <n v="20"/>
    <n v="49.99"/>
    <n v="999.80000000000007"/>
    <n v="0"/>
    <n v="999.80000000000007"/>
    <s v="Completed"/>
    <n v="999.80000000000007"/>
    <n v="949.81000000000006"/>
    <x v="0"/>
    <n v="-949.81000000000006"/>
    <n v="0.95"/>
    <n v="49.99"/>
    <s v="Large"/>
    <s v="High"/>
  </r>
  <r>
    <s v="ORD-0181"/>
    <s v="2026-01-22"/>
    <x v="2"/>
    <x v="1"/>
    <x v="23"/>
    <x v="0"/>
    <n v="12"/>
    <n v="449"/>
    <n v="5388"/>
    <n v="8"/>
    <n v="4956.96"/>
    <s v="Completed"/>
    <n v="5388"/>
    <n v="4939"/>
    <x v="0"/>
    <n v="-4507.96"/>
    <n v="0.99637681159420288"/>
    <n v="413.08"/>
    <s v="Large"/>
    <s v="Low"/>
  </r>
  <r>
    <s v="ORD-0462"/>
    <s v="2026-01-24"/>
    <x v="0"/>
    <x v="0"/>
    <x v="10"/>
    <x v="1"/>
    <n v="11"/>
    <n v="249"/>
    <n v="2739"/>
    <n v="5"/>
    <n v="2602.0499999999997"/>
    <s v="Completed"/>
    <n v="2739"/>
    <n v="2490"/>
    <x v="0"/>
    <n v="-2353.0499999999997"/>
    <n v="0.95693779904306231"/>
    <n v="236.54999999999998"/>
    <s v="Large"/>
    <s v="High"/>
  </r>
  <r>
    <s v="ORD-0149"/>
    <s v="2026-01-25"/>
    <x v="2"/>
    <x v="1"/>
    <x v="7"/>
    <x v="3"/>
    <n v="14"/>
    <n v="49.99"/>
    <n v="699.86"/>
    <n v="5"/>
    <n v="664.86699999999996"/>
    <s v="Completed"/>
    <n v="699.86"/>
    <n v="649.87"/>
    <x v="0"/>
    <n v="-614.87699999999995"/>
    <n v="0.97744360902255645"/>
    <n v="47.490499999999997"/>
    <s v="Large"/>
    <s v="High"/>
  </r>
  <r>
    <s v="ORD-0188"/>
    <s v="2026-01-25"/>
    <x v="1"/>
    <x v="1"/>
    <x v="13"/>
    <x v="3"/>
    <n v="3"/>
    <n v="59.99"/>
    <n v="179.97"/>
    <n v="8"/>
    <n v="165.57240000000002"/>
    <s v="Completed"/>
    <n v="179.97"/>
    <n v="119.97999999999999"/>
    <x v="0"/>
    <n v="-105.58240000000001"/>
    <n v="0.72463768115942018"/>
    <n v="55.190800000000003"/>
    <s v="Small"/>
    <s v="Low"/>
  </r>
  <r>
    <s v="ORD-0183"/>
    <s v="2026-01-26"/>
    <x v="1"/>
    <x v="1"/>
    <x v="1"/>
    <x v="1"/>
    <n v="11"/>
    <n v="999"/>
    <n v="10989"/>
    <n v="12"/>
    <n v="9670.32"/>
    <s v="Completed"/>
    <n v="10989"/>
    <n v="9990"/>
    <x v="0"/>
    <n v="-8671.32"/>
    <n v="1.0330578512396695"/>
    <n v="879.12"/>
    <s v="Large"/>
    <s v="Low"/>
  </r>
  <r>
    <s v="ORD-0074"/>
    <s v="2026-01-27"/>
    <x v="3"/>
    <x v="2"/>
    <x v="17"/>
    <x v="2"/>
    <n v="6"/>
    <n v="89.99"/>
    <n v="539.93999999999994"/>
    <n v="0"/>
    <n v="539.93999999999994"/>
    <s v="Completed"/>
    <n v="539.93999999999994"/>
    <n v="449.94999999999993"/>
    <x v="0"/>
    <n v="-449.94999999999993"/>
    <n v="0.83333333333333326"/>
    <n v="89.99"/>
    <s v="Small"/>
    <s v="High"/>
  </r>
  <r>
    <s v="ORD-0297"/>
    <s v="2026-01-27"/>
    <x v="6"/>
    <x v="3"/>
    <x v="4"/>
    <x v="0"/>
    <n v="15"/>
    <n v="299"/>
    <n v="4485"/>
    <n v="5"/>
    <n v="4260.75"/>
    <s v="Completed"/>
    <n v="4485"/>
    <n v="4186"/>
    <x v="0"/>
    <n v="-3961.75"/>
    <n v="0.98245614035087714"/>
    <n v="284.05"/>
    <s v="Large"/>
    <s v="Low"/>
  </r>
  <r>
    <s v="ORD-0182"/>
    <s v="2026-01-28"/>
    <x v="7"/>
    <x v="2"/>
    <x v="10"/>
    <x v="1"/>
    <n v="23"/>
    <n v="249"/>
    <n v="5727"/>
    <n v="5"/>
    <n v="5440.65"/>
    <s v="Completed"/>
    <n v="5727"/>
    <n v="5478"/>
    <x v="0"/>
    <n v="-5191.6499999999996"/>
    <n v="1.0068649885583525"/>
    <n v="236.54999999999998"/>
    <s v="Large"/>
    <s v="High"/>
  </r>
  <r>
    <s v="ORD-0364"/>
    <s v="2026-01-29"/>
    <x v="0"/>
    <x v="0"/>
    <x v="16"/>
    <x v="1"/>
    <n v="2"/>
    <n v="599"/>
    <n v="1198"/>
    <n v="5"/>
    <n v="1138.0999999999999"/>
    <s v="Completed"/>
    <n v="1198"/>
    <n v="599"/>
    <x v="0"/>
    <n v="-539.09999999999991"/>
    <n v="0.52631578947368429"/>
    <n v="569.04999999999995"/>
    <s v="Small"/>
    <s v="High"/>
  </r>
  <r>
    <s v="ORD-0283"/>
    <s v="2026-01-31"/>
    <x v="7"/>
    <x v="2"/>
    <x v="5"/>
    <x v="1"/>
    <n v="11"/>
    <n v="399"/>
    <n v="4389"/>
    <n v="0"/>
    <n v="4389"/>
    <s v="Completed"/>
    <n v="4389"/>
    <n v="3990"/>
    <x v="0"/>
    <n v="-3990"/>
    <n v="0.90909090909090906"/>
    <n v="399"/>
    <s v="Large"/>
    <s v="High"/>
  </r>
  <r>
    <s v="ORD-0303"/>
    <s v="2026-01-31"/>
    <x v="1"/>
    <x v="1"/>
    <x v="24"/>
    <x v="0"/>
    <n v="12"/>
    <n v="39.99"/>
    <n v="479.88"/>
    <n v="5"/>
    <n v="455.88599999999997"/>
    <s v="Completed"/>
    <n v="479.88"/>
    <n v="439.89"/>
    <x v="0"/>
    <n v="-415.89599999999996"/>
    <n v="0.96491228070175439"/>
    <n v="37.990499999999997"/>
    <s v="Large"/>
    <s v="High"/>
  </r>
  <r>
    <s v="ORD-0337"/>
    <s v="2026-02-01"/>
    <x v="9"/>
    <x v="1"/>
    <x v="18"/>
    <x v="3"/>
    <n v="6"/>
    <n v="99"/>
    <n v="594"/>
    <n v="12"/>
    <n v="522.72"/>
    <s v="Completed"/>
    <n v="594"/>
    <n v="495"/>
    <x v="1"/>
    <n v="-423.72"/>
    <n v="0.94696969696969691"/>
    <n v="87.12"/>
    <s v="Small"/>
    <s v="Low"/>
  </r>
  <r>
    <s v="ORD-0106"/>
    <s v="2026-02-03"/>
    <x v="9"/>
    <x v="1"/>
    <x v="10"/>
    <x v="1"/>
    <n v="27"/>
    <n v="249"/>
    <n v="6723"/>
    <n v="10"/>
    <n v="6050.7"/>
    <s v="Cancelled"/>
    <n v="6723"/>
    <n v="6474"/>
    <x v="1"/>
    <n v="-5801.7"/>
    <n v="1.0699588477366255"/>
    <n v="224.1"/>
    <s v="Large"/>
    <s v="Low"/>
  </r>
  <r>
    <s v="ORD-0110"/>
    <s v="2026-02-03"/>
    <x v="4"/>
    <x v="3"/>
    <x v="9"/>
    <x v="0"/>
    <n v="16"/>
    <n v="549"/>
    <n v="8784"/>
    <n v="0"/>
    <n v="8784"/>
    <s v="Completed"/>
    <n v="8784"/>
    <n v="8235"/>
    <x v="1"/>
    <n v="-8235"/>
    <n v="0.9375"/>
    <n v="549"/>
    <s v="Large"/>
    <s v="High"/>
  </r>
  <r>
    <s v="ORD-0483"/>
    <s v="2026-02-03"/>
    <x v="4"/>
    <x v="3"/>
    <x v="15"/>
    <x v="1"/>
    <n v="19"/>
    <n v="149.99"/>
    <n v="2849.8100000000004"/>
    <n v="5"/>
    <n v="2707.3195000000001"/>
    <s v="Pending"/>
    <n v="2849.8100000000004"/>
    <n v="2699.8200000000006"/>
    <x v="1"/>
    <n v="-2557.3294999999998"/>
    <n v="0.99722991689750717"/>
    <n v="142.4905"/>
    <s v="Large"/>
    <s v="High"/>
  </r>
  <r>
    <s v="ORD-0490"/>
    <s v="2026-02-03"/>
    <x v="4"/>
    <x v="3"/>
    <x v="22"/>
    <x v="1"/>
    <n v="13"/>
    <n v="79.989999999999995"/>
    <n v="1039.8699999999999"/>
    <n v="0"/>
    <n v="1039.8699999999999"/>
    <s v="Completed"/>
    <n v="1039.8699999999999"/>
    <n v="959.87999999999988"/>
    <x v="1"/>
    <n v="-959.87999999999988"/>
    <n v="0.92307692307692302"/>
    <n v="79.989999999999995"/>
    <s v="Large"/>
    <s v="High"/>
  </r>
  <r>
    <s v="ORD-0395"/>
    <s v="2026-02-09"/>
    <x v="6"/>
    <x v="3"/>
    <x v="12"/>
    <x v="3"/>
    <n v="18"/>
    <n v="149"/>
    <n v="2682"/>
    <n v="10"/>
    <n v="2413.8000000000002"/>
    <s v="Completed"/>
    <n v="2682"/>
    <n v="2533"/>
    <x v="1"/>
    <n v="-2264.8000000000002"/>
    <n v="1.0493827160493827"/>
    <n v="134.10000000000002"/>
    <s v="Large"/>
    <s v="High"/>
  </r>
  <r>
    <s v="ORD-0267"/>
    <s v="2026-02-10"/>
    <x v="6"/>
    <x v="3"/>
    <x v="3"/>
    <x v="2"/>
    <n v="17"/>
    <n v="19.989999999999998"/>
    <n v="339.83"/>
    <n v="0"/>
    <n v="339.83"/>
    <s v="Completed"/>
    <n v="339.83"/>
    <n v="319.83999999999997"/>
    <x v="1"/>
    <n v="-319.83999999999997"/>
    <n v="0.94117647058823528"/>
    <n v="19.989999999999998"/>
    <s v="Large"/>
    <s v="High"/>
  </r>
  <r>
    <s v="ORD-0209"/>
    <s v="2026-02-11"/>
    <x v="8"/>
    <x v="3"/>
    <x v="22"/>
    <x v="1"/>
    <n v="25"/>
    <n v="79.989999999999995"/>
    <n v="1999.7499999999998"/>
    <n v="5"/>
    <n v="1899.7624999999996"/>
    <s v="Completed"/>
    <n v="1999.7499999999998"/>
    <n v="1919.7599999999998"/>
    <x v="1"/>
    <n v="-1819.7724999999996"/>
    <n v="1.0105263157894737"/>
    <n v="75.990499999999983"/>
    <s v="Large"/>
    <s v="Low"/>
  </r>
  <r>
    <s v="ORD-0482"/>
    <s v="2026-02-12"/>
    <x v="7"/>
    <x v="2"/>
    <x v="8"/>
    <x v="1"/>
    <n v="7"/>
    <n v="1299"/>
    <n v="9093"/>
    <n v="0"/>
    <n v="9093"/>
    <s v="Completed"/>
    <n v="9093"/>
    <n v="7794"/>
    <x v="1"/>
    <n v="-7794"/>
    <n v="0.8571428571428571"/>
    <n v="1299"/>
    <s v="Small"/>
    <s v="High"/>
  </r>
  <r>
    <s v="ORD-0020"/>
    <s v="2026-02-13"/>
    <x v="2"/>
    <x v="1"/>
    <x v="0"/>
    <x v="0"/>
    <n v="9"/>
    <n v="129"/>
    <n v="1161"/>
    <n v="10"/>
    <n v="1044.9000000000001"/>
    <s v="Completed"/>
    <n v="1161"/>
    <n v="1032"/>
    <x v="1"/>
    <n v="-915.90000000000009"/>
    <n v="0.98765432098765427"/>
    <n v="116.10000000000001"/>
    <s v="Small"/>
    <s v="High"/>
  </r>
  <r>
    <s v="ORD-0076"/>
    <s v="2026-02-13"/>
    <x v="3"/>
    <x v="2"/>
    <x v="2"/>
    <x v="2"/>
    <n v="1"/>
    <n v="29.99"/>
    <n v="29.99"/>
    <n v="5"/>
    <n v="28.490499999999997"/>
    <s v="Completed"/>
    <n v="29.99"/>
    <n v="0"/>
    <x v="1"/>
    <n v="1.4995000000000012"/>
    <n v="0"/>
    <n v="28.490499999999997"/>
    <s v="Small"/>
    <s v="High"/>
  </r>
  <r>
    <s v="ORD-0250"/>
    <s v="2026-02-15"/>
    <x v="7"/>
    <x v="2"/>
    <x v="8"/>
    <x v="1"/>
    <n v="6"/>
    <n v="1299"/>
    <n v="7794"/>
    <n v="0"/>
    <n v="7794"/>
    <s v="Completed"/>
    <n v="7794"/>
    <n v="6495"/>
    <x v="1"/>
    <n v="-6495"/>
    <n v="0.83333333333333337"/>
    <n v="1299"/>
    <s v="Small"/>
    <s v="Low"/>
  </r>
  <r>
    <s v="ORD-0377"/>
    <s v="2026-02-16"/>
    <x v="0"/>
    <x v="0"/>
    <x v="10"/>
    <x v="1"/>
    <n v="20"/>
    <n v="249"/>
    <n v="4980"/>
    <n v="15"/>
    <n v="4233"/>
    <s v="Completed"/>
    <n v="4980"/>
    <n v="4731"/>
    <x v="1"/>
    <n v="-3984"/>
    <n v="1.1176470588235294"/>
    <n v="211.65"/>
    <s v="Large"/>
    <s v="High"/>
  </r>
  <r>
    <s v="ORD-0440"/>
    <s v="2026-02-16"/>
    <x v="9"/>
    <x v="1"/>
    <x v="2"/>
    <x v="2"/>
    <n v="24"/>
    <n v="29.99"/>
    <n v="719.76"/>
    <n v="0"/>
    <n v="719.76"/>
    <s v="Completed"/>
    <n v="719.76"/>
    <n v="689.77"/>
    <x v="1"/>
    <n v="-689.77"/>
    <n v="0.95833333333333337"/>
    <n v="29.99"/>
    <s v="Large"/>
    <s v="High"/>
  </r>
  <r>
    <s v="ORD-0159"/>
    <s v="2026-02-17"/>
    <x v="8"/>
    <x v="3"/>
    <x v="4"/>
    <x v="0"/>
    <n v="23"/>
    <n v="299"/>
    <n v="6877"/>
    <n v="5"/>
    <n v="6533.15"/>
    <s v="Completed"/>
    <n v="6877"/>
    <n v="6578"/>
    <x v="1"/>
    <n v="-6234.15"/>
    <n v="1.0068649885583525"/>
    <n v="284.05"/>
    <s v="Large"/>
    <s v="Low"/>
  </r>
  <r>
    <s v="ORD-0053"/>
    <s v="2026-02-18"/>
    <x v="6"/>
    <x v="3"/>
    <x v="5"/>
    <x v="1"/>
    <n v="22"/>
    <n v="399"/>
    <n v="8778"/>
    <n v="5"/>
    <n v="8339.1"/>
    <s v="Completed"/>
    <n v="8778"/>
    <n v="8379"/>
    <x v="1"/>
    <n v="-7940.1"/>
    <n v="1.0047846889952152"/>
    <n v="379.05"/>
    <s v="Large"/>
    <s v="High"/>
  </r>
  <r>
    <s v="ORD-0168"/>
    <s v="2026-02-18"/>
    <x v="7"/>
    <x v="2"/>
    <x v="17"/>
    <x v="2"/>
    <n v="11"/>
    <n v="89.99"/>
    <n v="989.89"/>
    <n v="0"/>
    <n v="989.89"/>
    <s v="Completed"/>
    <n v="989.89"/>
    <n v="899.9"/>
    <x v="1"/>
    <n v="-899.9"/>
    <n v="0.90909090909090906"/>
    <n v="89.99"/>
    <s v="Large"/>
    <s v="High"/>
  </r>
  <r>
    <s v="ORD-0071"/>
    <s v="2026-02-21"/>
    <x v="3"/>
    <x v="2"/>
    <x v="12"/>
    <x v="3"/>
    <n v="4"/>
    <n v="149"/>
    <n v="596"/>
    <n v="8"/>
    <n v="548.32000000000005"/>
    <s v="Completed"/>
    <n v="596"/>
    <n v="447"/>
    <x v="1"/>
    <n v="-399.32000000000005"/>
    <n v="0.81521739130434778"/>
    <n v="137.08000000000001"/>
    <s v="Small"/>
    <s v="Low"/>
  </r>
  <r>
    <s v="ORD-0402"/>
    <s v="2026-02-21"/>
    <x v="0"/>
    <x v="0"/>
    <x v="8"/>
    <x v="1"/>
    <n v="18"/>
    <n v="1299"/>
    <n v="23382"/>
    <n v="0"/>
    <n v="23382"/>
    <s v="Pending"/>
    <n v="23382"/>
    <n v="22083"/>
    <x v="1"/>
    <n v="-22083"/>
    <n v="0.94444444444444442"/>
    <n v="1299"/>
    <s v="Large"/>
    <s v="Low"/>
  </r>
  <r>
    <s v="ORD-0446"/>
    <s v="2026-02-23"/>
    <x v="1"/>
    <x v="1"/>
    <x v="24"/>
    <x v="0"/>
    <n v="11"/>
    <n v="39.99"/>
    <n v="439.89000000000004"/>
    <n v="10"/>
    <n v="395.90100000000007"/>
    <s v="Completed"/>
    <n v="439.89000000000004"/>
    <n v="399.90000000000003"/>
    <x v="1"/>
    <n v="-355.91100000000006"/>
    <n v="1.0101010101010099"/>
    <n v="35.991000000000007"/>
    <s v="Large"/>
    <s v="High"/>
  </r>
  <r>
    <s v="ORD-0186"/>
    <s v="2026-02-24"/>
    <x v="5"/>
    <x v="0"/>
    <x v="8"/>
    <x v="1"/>
    <n v="24"/>
    <n v="1299"/>
    <n v="31176"/>
    <n v="0"/>
    <n v="31176"/>
    <s v="Pending"/>
    <n v="31176"/>
    <n v="29877"/>
    <x v="1"/>
    <n v="-29877"/>
    <n v="0.95833333333333337"/>
    <n v="1299"/>
    <s v="Large"/>
    <s v="Low"/>
  </r>
  <r>
    <s v="ORD-0346"/>
    <s v="2026-02-25"/>
    <x v="1"/>
    <x v="1"/>
    <x v="14"/>
    <x v="3"/>
    <n v="24"/>
    <n v="299"/>
    <n v="7176"/>
    <n v="12"/>
    <n v="6314.88"/>
    <s v="Cancelled"/>
    <n v="7176"/>
    <n v="6877"/>
    <x v="1"/>
    <n v="-6015.88"/>
    <n v="1.0890151515151516"/>
    <n v="263.12"/>
    <s v="Large"/>
    <s v="High"/>
  </r>
  <r>
    <s v="ORD-0073"/>
    <s v="2026-02-26"/>
    <x v="9"/>
    <x v="1"/>
    <x v="15"/>
    <x v="1"/>
    <n v="24"/>
    <n v="149.99"/>
    <n v="3599.76"/>
    <n v="8"/>
    <n v="3311.7792000000004"/>
    <s v="Pending"/>
    <n v="3599.76"/>
    <n v="3449.7700000000004"/>
    <x v="1"/>
    <n v="-3161.7892000000002"/>
    <n v="1.0416666666666667"/>
    <n v="137.99080000000001"/>
    <s v="Large"/>
    <s v="High"/>
  </r>
  <r>
    <s v="ORD-0470"/>
    <s v="2026-02-26"/>
    <x v="5"/>
    <x v="0"/>
    <x v="8"/>
    <x v="1"/>
    <n v="1"/>
    <n v="1299"/>
    <n v="1299"/>
    <n v="15"/>
    <n v="1104.1499999999999"/>
    <s v="Completed"/>
    <n v="1299"/>
    <n v="0"/>
    <x v="1"/>
    <n v="194.85000000000014"/>
    <n v="0"/>
    <n v="1104.1499999999999"/>
    <s v="Small"/>
    <s v="High"/>
  </r>
  <r>
    <s v="ORD-0387"/>
    <s v="2026-02-27"/>
    <x v="5"/>
    <x v="0"/>
    <x v="6"/>
    <x v="2"/>
    <n v="14"/>
    <n v="59.99"/>
    <n v="839.86"/>
    <n v="0"/>
    <n v="839.86"/>
    <s v="Pending"/>
    <n v="839.86"/>
    <n v="779.87"/>
    <x v="1"/>
    <n v="-779.87"/>
    <n v="0.9285714285714286"/>
    <n v="59.99"/>
    <s v="Large"/>
    <s v="High"/>
  </r>
  <r>
    <s v="ORD-0093"/>
    <s v="2026-03-01"/>
    <x v="6"/>
    <x v="3"/>
    <x v="7"/>
    <x v="3"/>
    <n v="3"/>
    <n v="49.99"/>
    <n v="149.97"/>
    <n v="12"/>
    <n v="131.9736"/>
    <s v="Pending"/>
    <n v="149.97"/>
    <n v="99.97999999999999"/>
    <x v="2"/>
    <n v="-81.983599999999996"/>
    <n v="0.75757575757575746"/>
    <n v="43.991199999999999"/>
    <s v="Small"/>
    <s v="Low"/>
  </r>
  <r>
    <s v="ORD-0302"/>
    <s v="2026-03-01"/>
    <x v="5"/>
    <x v="0"/>
    <x v="21"/>
    <x v="2"/>
    <n v="30"/>
    <n v="79.989999999999995"/>
    <n v="2399.6999999999998"/>
    <n v="0"/>
    <n v="2399.6999999999998"/>
    <s v="Completed"/>
    <n v="2399.6999999999998"/>
    <n v="2319.71"/>
    <x v="2"/>
    <n v="-2319.71"/>
    <n v="0.96666666666666679"/>
    <n v="79.989999999999995"/>
    <s v="Large"/>
    <s v="Low"/>
  </r>
  <r>
    <s v="ORD-0176"/>
    <s v="2026-03-02"/>
    <x v="4"/>
    <x v="3"/>
    <x v="24"/>
    <x v="0"/>
    <n v="23"/>
    <n v="39.99"/>
    <n v="919.7700000000001"/>
    <n v="5"/>
    <n v="873.78150000000005"/>
    <s v="Completed"/>
    <n v="919.7700000000001"/>
    <n v="879.78000000000009"/>
    <x v="2"/>
    <n v="-833.79150000000004"/>
    <n v="1.0068649885583525"/>
    <n v="37.990500000000004"/>
    <s v="Large"/>
    <s v="High"/>
  </r>
  <r>
    <s v="ORD-0461"/>
    <s v="2026-03-04"/>
    <x v="0"/>
    <x v="0"/>
    <x v="8"/>
    <x v="1"/>
    <n v="9"/>
    <n v="1299"/>
    <n v="11691"/>
    <n v="15"/>
    <n v="9937.35"/>
    <s v="Completed"/>
    <n v="11691"/>
    <n v="10392"/>
    <x v="2"/>
    <n v="-8638.35"/>
    <n v="1.0457516339869282"/>
    <n v="1104.1500000000001"/>
    <s v="Small"/>
    <s v="Low"/>
  </r>
  <r>
    <s v="ORD-0108"/>
    <s v="2026-03-06"/>
    <x v="7"/>
    <x v="2"/>
    <x v="11"/>
    <x v="2"/>
    <n v="25"/>
    <n v="49.99"/>
    <n v="1249.75"/>
    <n v="10"/>
    <n v="1124.7750000000001"/>
    <s v="Completed"/>
    <n v="1249.75"/>
    <n v="1199.76"/>
    <x v="2"/>
    <n v="-1074.7850000000001"/>
    <n v="1.0666666666666667"/>
    <n v="44.991000000000007"/>
    <s v="Large"/>
    <s v="High"/>
  </r>
  <r>
    <s v="ORD-0217"/>
    <s v="2026-03-06"/>
    <x v="5"/>
    <x v="0"/>
    <x v="21"/>
    <x v="2"/>
    <n v="22"/>
    <n v="79.989999999999995"/>
    <n v="1759.78"/>
    <n v="15"/>
    <n v="1495.8129999999999"/>
    <s v="Completed"/>
    <n v="1759.78"/>
    <n v="1679.79"/>
    <x v="2"/>
    <n v="-1415.8229999999999"/>
    <n v="1.1229946524064172"/>
    <n v="67.991499999999988"/>
    <s v="Large"/>
    <s v="High"/>
  </r>
  <r>
    <s v="ORD-0431"/>
    <s v="2026-03-07"/>
    <x v="4"/>
    <x v="3"/>
    <x v="9"/>
    <x v="0"/>
    <n v="6"/>
    <n v="549"/>
    <n v="3294"/>
    <n v="0"/>
    <n v="3294"/>
    <s v="Completed"/>
    <n v="3294"/>
    <n v="2745"/>
    <x v="2"/>
    <n v="-2745"/>
    <n v="0.83333333333333337"/>
    <n v="549"/>
    <s v="Small"/>
    <s v="High"/>
  </r>
  <r>
    <s v="ORD-0022"/>
    <s v="2026-03-09"/>
    <x v="9"/>
    <x v="1"/>
    <x v="16"/>
    <x v="1"/>
    <n v="5"/>
    <n v="599"/>
    <n v="2995"/>
    <n v="0"/>
    <n v="2995"/>
    <s v="Completed"/>
    <n v="2995"/>
    <n v="2396"/>
    <x v="2"/>
    <n v="-2396"/>
    <n v="0.8"/>
    <n v="599"/>
    <s v="Small"/>
    <s v="High"/>
  </r>
  <r>
    <s v="ORD-0044"/>
    <s v="2026-03-09"/>
    <x v="3"/>
    <x v="2"/>
    <x v="0"/>
    <x v="0"/>
    <n v="15"/>
    <n v="129"/>
    <n v="1935"/>
    <n v="0"/>
    <n v="1935"/>
    <s v="Completed"/>
    <n v="1935"/>
    <n v="1806"/>
    <x v="2"/>
    <n v="-1806"/>
    <n v="0.93333333333333335"/>
    <n v="129"/>
    <s v="Large"/>
    <s v="High"/>
  </r>
  <r>
    <s v="ORD-0033"/>
    <s v="2026-03-10"/>
    <x v="5"/>
    <x v="0"/>
    <x v="0"/>
    <x v="0"/>
    <n v="6"/>
    <n v="129"/>
    <n v="774"/>
    <n v="5"/>
    <n v="735.3"/>
    <s v="Completed"/>
    <n v="774"/>
    <n v="645"/>
    <x v="2"/>
    <n v="-606.29999999999995"/>
    <n v="0.87719298245614041"/>
    <n v="122.55"/>
    <s v="Small"/>
    <s v="High"/>
  </r>
  <r>
    <s v="ORD-0308"/>
    <s v="2026-03-10"/>
    <x v="2"/>
    <x v="1"/>
    <x v="18"/>
    <x v="3"/>
    <n v="20"/>
    <n v="99"/>
    <n v="1980"/>
    <n v="15"/>
    <n v="1683"/>
    <s v="Completed"/>
    <n v="1980"/>
    <n v="1881"/>
    <x v="2"/>
    <n v="-1584"/>
    <n v="1.1176470588235294"/>
    <n v="84.15"/>
    <s v="Large"/>
    <s v="Low"/>
  </r>
  <r>
    <s v="ORD-0429"/>
    <s v="2026-03-10"/>
    <x v="3"/>
    <x v="2"/>
    <x v="19"/>
    <x v="0"/>
    <n v="3"/>
    <n v="199"/>
    <n v="597"/>
    <n v="0"/>
    <n v="597"/>
    <s v="Completed"/>
    <n v="597"/>
    <n v="398"/>
    <x v="2"/>
    <n v="-398"/>
    <n v="0.66666666666666663"/>
    <n v="199"/>
    <s v="Small"/>
    <s v="High"/>
  </r>
  <r>
    <s v="ORD-0435"/>
    <s v="2026-03-11"/>
    <x v="9"/>
    <x v="1"/>
    <x v="11"/>
    <x v="2"/>
    <n v="15"/>
    <n v="49.99"/>
    <n v="749.85"/>
    <n v="15"/>
    <n v="637.37250000000006"/>
    <s v="Completed"/>
    <n v="749.85"/>
    <n v="699.86"/>
    <x v="2"/>
    <n v="-587.38250000000005"/>
    <n v="1.0980392156862744"/>
    <n v="42.491500000000002"/>
    <s v="Large"/>
    <s v="Low"/>
  </r>
  <r>
    <s v="ORD-0156"/>
    <s v="2026-03-12"/>
    <x v="3"/>
    <x v="2"/>
    <x v="17"/>
    <x v="2"/>
    <n v="26"/>
    <n v="89.99"/>
    <n v="2339.7399999999998"/>
    <n v="5"/>
    <n v="2222.7529999999997"/>
    <s v="Completed"/>
    <n v="2339.7399999999998"/>
    <n v="2249.75"/>
    <x v="2"/>
    <n v="-2132.7629999999999"/>
    <n v="1.0121457489878545"/>
    <n v="85.490499999999983"/>
    <s v="Large"/>
    <s v="Low"/>
  </r>
  <r>
    <s v="ORD-0099"/>
    <s v="2026-03-13"/>
    <x v="5"/>
    <x v="0"/>
    <x v="20"/>
    <x v="0"/>
    <n v="27"/>
    <n v="169"/>
    <n v="4563"/>
    <n v="15"/>
    <n v="3878.5499999999997"/>
    <s v="Completed"/>
    <n v="4563"/>
    <n v="4394"/>
    <x v="2"/>
    <n v="-3709.5499999999997"/>
    <n v="1.1328976034858389"/>
    <n v="143.64999999999998"/>
    <s v="Large"/>
    <s v="High"/>
  </r>
  <r>
    <s v="ORD-0233"/>
    <s v="2026-03-13"/>
    <x v="9"/>
    <x v="1"/>
    <x v="1"/>
    <x v="1"/>
    <n v="16"/>
    <n v="999"/>
    <n v="15984"/>
    <n v="10"/>
    <n v="14385.6"/>
    <s v="Pending"/>
    <n v="15984"/>
    <n v="14985"/>
    <x v="2"/>
    <n v="-13386.6"/>
    <n v="1.0416666666666667"/>
    <n v="899.1"/>
    <s v="Large"/>
    <s v="High"/>
  </r>
  <r>
    <s v="ORD-0240"/>
    <s v="2026-03-14"/>
    <x v="1"/>
    <x v="1"/>
    <x v="18"/>
    <x v="3"/>
    <n v="4"/>
    <n v="99"/>
    <n v="396"/>
    <n v="8"/>
    <n v="364.32"/>
    <s v="Completed"/>
    <n v="396"/>
    <n v="297"/>
    <x v="2"/>
    <n v="-265.32"/>
    <n v="0.81521739130434789"/>
    <n v="91.08"/>
    <s v="Small"/>
    <s v="High"/>
  </r>
  <r>
    <s v="ORD-0263"/>
    <s v="2026-03-16"/>
    <x v="5"/>
    <x v="0"/>
    <x v="5"/>
    <x v="1"/>
    <n v="28"/>
    <n v="399"/>
    <n v="11172"/>
    <n v="8"/>
    <n v="10278.24"/>
    <s v="Completed"/>
    <n v="11172"/>
    <n v="10773"/>
    <x v="2"/>
    <n v="-9879.24"/>
    <n v="1.048136645962733"/>
    <n v="367.08"/>
    <s v="Large"/>
    <s v="Low"/>
  </r>
  <r>
    <s v="ORD-0312"/>
    <s v="2026-03-16"/>
    <x v="3"/>
    <x v="2"/>
    <x v="14"/>
    <x v="3"/>
    <n v="5"/>
    <n v="299"/>
    <n v="1495"/>
    <n v="5"/>
    <n v="1420.25"/>
    <s v="Completed"/>
    <n v="1495"/>
    <n v="1196"/>
    <x v="2"/>
    <n v="-1121.25"/>
    <n v="0.84210526315789469"/>
    <n v="284.05"/>
    <s v="Small"/>
    <s v="High"/>
  </r>
  <r>
    <s v="ORD-0260"/>
    <s v="2026-03-17"/>
    <x v="7"/>
    <x v="2"/>
    <x v="16"/>
    <x v="1"/>
    <n v="1"/>
    <n v="599"/>
    <n v="599"/>
    <n v="12"/>
    <n v="527.12"/>
    <s v="Completed"/>
    <n v="599"/>
    <n v="0"/>
    <x v="2"/>
    <n v="71.88"/>
    <n v="0"/>
    <n v="527.12"/>
    <s v="Small"/>
    <s v="High"/>
  </r>
  <r>
    <s v="ORD-0041"/>
    <s v="2026-03-18"/>
    <x v="1"/>
    <x v="1"/>
    <x v="10"/>
    <x v="1"/>
    <n v="4"/>
    <n v="249"/>
    <n v="996"/>
    <n v="0"/>
    <n v="996"/>
    <s v="Completed"/>
    <n v="996"/>
    <n v="747"/>
    <x v="2"/>
    <n v="-747"/>
    <n v="0.75"/>
    <n v="249"/>
    <s v="Small"/>
    <s v="Low"/>
  </r>
  <r>
    <s v="ORD-0190"/>
    <s v="2026-03-21"/>
    <x v="4"/>
    <x v="3"/>
    <x v="2"/>
    <x v="2"/>
    <n v="24"/>
    <n v="29.99"/>
    <n v="719.76"/>
    <n v="0"/>
    <n v="719.76"/>
    <s v="Completed"/>
    <n v="719.76"/>
    <n v="689.77"/>
    <x v="2"/>
    <n v="-689.77"/>
    <n v="0.95833333333333337"/>
    <n v="29.99"/>
    <s v="Large"/>
    <s v="Low"/>
  </r>
  <r>
    <s v="ORD-0330"/>
    <s v="2026-03-22"/>
    <x v="5"/>
    <x v="0"/>
    <x v="1"/>
    <x v="1"/>
    <n v="24"/>
    <n v="999"/>
    <n v="23976"/>
    <n v="8"/>
    <n v="22057.920000000002"/>
    <s v="Completed"/>
    <n v="23976"/>
    <n v="22977"/>
    <x v="2"/>
    <n v="-21058.920000000002"/>
    <n v="1.0416666666666665"/>
    <n v="919.08"/>
    <s v="Large"/>
    <s v="Low"/>
  </r>
  <r>
    <s v="ORD-0080"/>
    <s v="2026-03-23"/>
    <x v="6"/>
    <x v="3"/>
    <x v="9"/>
    <x v="0"/>
    <n v="12"/>
    <n v="549"/>
    <n v="6588"/>
    <n v="8"/>
    <n v="6060.96"/>
    <s v="Completed"/>
    <n v="6588"/>
    <n v="6039"/>
    <x v="2"/>
    <n v="-5511.96"/>
    <n v="0.99637681159420288"/>
    <n v="505.08"/>
    <s v="Large"/>
    <s v="High"/>
  </r>
  <r>
    <s v="ORD-0262"/>
    <s v="2026-03-23"/>
    <x v="7"/>
    <x v="2"/>
    <x v="5"/>
    <x v="1"/>
    <n v="13"/>
    <n v="399"/>
    <n v="5187"/>
    <n v="0"/>
    <n v="5187"/>
    <s v="Completed"/>
    <n v="5187"/>
    <n v="4788"/>
    <x v="2"/>
    <n v="-4788"/>
    <n v="0.92307692307692313"/>
    <n v="399"/>
    <s v="Large"/>
    <s v="High"/>
  </r>
  <r>
    <s v="ORD-0293"/>
    <s v="2026-03-25"/>
    <x v="0"/>
    <x v="0"/>
    <x v="15"/>
    <x v="1"/>
    <n v="27"/>
    <n v="149.99"/>
    <n v="4049.7300000000005"/>
    <n v="0"/>
    <n v="4049.7300000000005"/>
    <s v="Completed"/>
    <n v="4049.7300000000005"/>
    <n v="3899.7400000000007"/>
    <x v="2"/>
    <n v="-3899.7400000000007"/>
    <n v="0.96296296296296302"/>
    <n v="149.99"/>
    <s v="Large"/>
    <s v="High"/>
  </r>
  <r>
    <s v="ORD-0280"/>
    <s v="2026-03-26"/>
    <x v="0"/>
    <x v="0"/>
    <x v="1"/>
    <x v="1"/>
    <n v="8"/>
    <n v="999"/>
    <n v="7992"/>
    <n v="12"/>
    <n v="7032.96"/>
    <s v="Completed"/>
    <n v="7992"/>
    <n v="6993"/>
    <x v="2"/>
    <n v="-6033.96"/>
    <n v="0.99431818181818177"/>
    <n v="879.12"/>
    <s v="Small"/>
    <s v="High"/>
  </r>
  <r>
    <s v="ORD-0324"/>
    <s v="2026-03-27"/>
    <x v="7"/>
    <x v="2"/>
    <x v="9"/>
    <x v="0"/>
    <n v="29"/>
    <n v="549"/>
    <n v="15921"/>
    <n v="10"/>
    <n v="14328.9"/>
    <s v="Completed"/>
    <n v="15921"/>
    <n v="15372"/>
    <x v="2"/>
    <n v="-13779.9"/>
    <n v="1.0727969348659003"/>
    <n v="494.09999999999997"/>
    <s v="Large"/>
    <s v="High"/>
  </r>
  <r>
    <s v="ORD-0255"/>
    <s v="2026-03-29"/>
    <x v="5"/>
    <x v="0"/>
    <x v="12"/>
    <x v="3"/>
    <n v="14"/>
    <n v="149"/>
    <n v="2086"/>
    <n v="12"/>
    <n v="1835.68"/>
    <s v="Completed"/>
    <n v="2086"/>
    <n v="1937"/>
    <x v="2"/>
    <n v="-1686.68"/>
    <n v="1.0551948051948052"/>
    <n v="131.12"/>
    <s v="Large"/>
    <s v="High"/>
  </r>
  <r>
    <s v="ORD-0045"/>
    <s v="2026-03-30"/>
    <x v="4"/>
    <x v="3"/>
    <x v="4"/>
    <x v="0"/>
    <n v="8"/>
    <n v="299"/>
    <n v="2392"/>
    <n v="0"/>
    <n v="2392"/>
    <s v="Completed"/>
    <n v="2392"/>
    <n v="2093"/>
    <x v="2"/>
    <n v="-2093"/>
    <n v="0.875"/>
    <n v="299"/>
    <s v="Small"/>
    <s v="High"/>
  </r>
  <r>
    <s v="ORD-0294"/>
    <s v="2026-03-31"/>
    <x v="1"/>
    <x v="1"/>
    <x v="21"/>
    <x v="2"/>
    <n v="22"/>
    <n v="79.989999999999995"/>
    <n v="1759.78"/>
    <n v="5"/>
    <n v="1671.7909999999999"/>
    <s v="Completed"/>
    <n v="1759.78"/>
    <n v="1679.79"/>
    <x v="2"/>
    <n v="-1591.8009999999999"/>
    <n v="1.0047846889952152"/>
    <n v="75.990499999999997"/>
    <s v="Large"/>
    <s v="High"/>
  </r>
  <r>
    <s v="ORD-0329"/>
    <s v="2026-03-31"/>
    <x v="6"/>
    <x v="3"/>
    <x v="14"/>
    <x v="3"/>
    <n v="14"/>
    <n v="299"/>
    <n v="4186"/>
    <n v="0"/>
    <n v="4186"/>
    <s v="Completed"/>
    <n v="4186"/>
    <n v="3887"/>
    <x v="2"/>
    <n v="-3887"/>
    <n v="0.9285714285714286"/>
    <n v="299"/>
    <s v="Large"/>
    <s v="High"/>
  </r>
  <r>
    <s v="ORD-0340"/>
    <s v="2026-04-01"/>
    <x v="0"/>
    <x v="0"/>
    <x v="5"/>
    <x v="1"/>
    <n v="15"/>
    <n v="399"/>
    <n v="5985"/>
    <n v="0"/>
    <n v="5985"/>
    <s v="Completed"/>
    <n v="5985"/>
    <n v="5586"/>
    <x v="3"/>
    <n v="-5586"/>
    <n v="0.93333333333333335"/>
    <n v="399"/>
    <s v="Large"/>
    <s v="High"/>
  </r>
  <r>
    <s v="ORD-0338"/>
    <s v="2026-04-02"/>
    <x v="8"/>
    <x v="3"/>
    <x v="17"/>
    <x v="2"/>
    <n v="25"/>
    <n v="89.99"/>
    <n v="2249.75"/>
    <n v="5"/>
    <n v="2137.2624999999998"/>
    <s v="Completed"/>
    <n v="2249.75"/>
    <n v="2159.7600000000002"/>
    <x v="3"/>
    <n v="-2047.2724999999998"/>
    <n v="1.0105263157894739"/>
    <n v="85.490499999999997"/>
    <s v="Large"/>
    <s v="High"/>
  </r>
  <r>
    <s v="ORD-0414"/>
    <s v="2026-04-03"/>
    <x v="9"/>
    <x v="1"/>
    <x v="17"/>
    <x v="2"/>
    <n v="13"/>
    <n v="89.99"/>
    <n v="1169.8699999999999"/>
    <n v="5"/>
    <n v="1111.3764999999999"/>
    <s v="Cancelled"/>
    <n v="1169.8699999999999"/>
    <n v="1079.8799999999999"/>
    <x v="3"/>
    <n v="-1021.3864999999998"/>
    <n v="0.97165991902834015"/>
    <n v="85.490499999999983"/>
    <s v="Large"/>
    <s v="High"/>
  </r>
  <r>
    <s v="ORD-0439"/>
    <s v="2026-04-03"/>
    <x v="8"/>
    <x v="3"/>
    <x v="16"/>
    <x v="1"/>
    <n v="20"/>
    <n v="599"/>
    <n v="11980"/>
    <n v="0"/>
    <n v="11980"/>
    <s v="Completed"/>
    <n v="11980"/>
    <n v="11381"/>
    <x v="3"/>
    <n v="-11381"/>
    <n v="0.95"/>
    <n v="599"/>
    <s v="Large"/>
    <s v="High"/>
  </r>
  <r>
    <s v="ORD-0135"/>
    <s v="2026-04-04"/>
    <x v="3"/>
    <x v="2"/>
    <x v="14"/>
    <x v="3"/>
    <n v="16"/>
    <n v="299"/>
    <n v="4784"/>
    <n v="12"/>
    <n v="4209.92"/>
    <s v="Completed"/>
    <n v="4784"/>
    <n v="4485"/>
    <x v="3"/>
    <n v="-3910.92"/>
    <n v="1.0653409090909092"/>
    <n v="263.12"/>
    <s v="Large"/>
    <s v="High"/>
  </r>
  <r>
    <s v="ORD-0306"/>
    <s v="2026-04-05"/>
    <x v="0"/>
    <x v="0"/>
    <x v="7"/>
    <x v="3"/>
    <n v="23"/>
    <n v="49.99"/>
    <n v="1149.77"/>
    <n v="12"/>
    <n v="1011.7976"/>
    <s v="Completed"/>
    <n v="1149.77"/>
    <n v="1099.78"/>
    <x v="3"/>
    <n v="-961.80759999999998"/>
    <n v="1.0869565217391304"/>
    <n v="43.991199999999999"/>
    <s v="Large"/>
    <s v="High"/>
  </r>
  <r>
    <s v="ORD-0100"/>
    <s v="2026-04-06"/>
    <x v="5"/>
    <x v="0"/>
    <x v="15"/>
    <x v="1"/>
    <n v="24"/>
    <n v="149.99"/>
    <n v="3599.76"/>
    <n v="12"/>
    <n v="3167.7888000000003"/>
    <s v="Completed"/>
    <n v="3599.76"/>
    <n v="3449.7700000000004"/>
    <x v="3"/>
    <n v="-3017.7988000000005"/>
    <n v="1.0890151515151516"/>
    <n v="131.99120000000002"/>
    <s v="Large"/>
    <s v="High"/>
  </r>
  <r>
    <s v="ORD-0277"/>
    <s v="2026-04-06"/>
    <x v="5"/>
    <x v="0"/>
    <x v="19"/>
    <x v="0"/>
    <n v="18"/>
    <n v="199"/>
    <n v="3582"/>
    <n v="0"/>
    <n v="3582"/>
    <s v="Completed"/>
    <n v="3582"/>
    <n v="3383"/>
    <x v="3"/>
    <n v="-3383"/>
    <n v="0.94444444444444442"/>
    <n v="199"/>
    <s v="Large"/>
    <s v="High"/>
  </r>
  <r>
    <s v="ORD-0334"/>
    <s v="2026-04-06"/>
    <x v="6"/>
    <x v="3"/>
    <x v="1"/>
    <x v="1"/>
    <n v="20"/>
    <n v="999"/>
    <n v="19980"/>
    <n v="0"/>
    <n v="19980"/>
    <s v="Completed"/>
    <n v="19980"/>
    <n v="18981"/>
    <x v="3"/>
    <n v="-18981"/>
    <n v="0.95"/>
    <n v="999"/>
    <s v="Large"/>
    <s v="High"/>
  </r>
  <r>
    <s v="ORD-0363"/>
    <s v="2026-04-06"/>
    <x v="3"/>
    <x v="2"/>
    <x v="4"/>
    <x v="0"/>
    <n v="4"/>
    <n v="299"/>
    <n v="1196"/>
    <n v="5"/>
    <n v="1136.2"/>
    <s v="Completed"/>
    <n v="1196"/>
    <n v="897"/>
    <x v="3"/>
    <n v="-837.2"/>
    <n v="0.78947368421052633"/>
    <n v="284.05"/>
    <s v="Small"/>
    <s v="High"/>
  </r>
  <r>
    <s v="ORD-0374"/>
    <s v="2026-04-07"/>
    <x v="4"/>
    <x v="3"/>
    <x v="5"/>
    <x v="1"/>
    <n v="13"/>
    <n v="399"/>
    <n v="5187"/>
    <n v="15"/>
    <n v="4408.95"/>
    <s v="Cancelled"/>
    <n v="5187"/>
    <n v="4788"/>
    <x v="3"/>
    <n v="-4009.95"/>
    <n v="1.0859728506787332"/>
    <n v="339.15"/>
    <s v="Large"/>
    <s v="High"/>
  </r>
  <r>
    <s v="ORD-0035"/>
    <s v="2026-04-08"/>
    <x v="7"/>
    <x v="2"/>
    <x v="4"/>
    <x v="0"/>
    <n v="29"/>
    <n v="299"/>
    <n v="8671"/>
    <n v="15"/>
    <n v="7370.3499999999995"/>
    <s v="Completed"/>
    <n v="8671"/>
    <n v="8372"/>
    <x v="3"/>
    <n v="-7071.3499999999995"/>
    <n v="1.1359026369168357"/>
    <n v="254.14999999999998"/>
    <s v="Large"/>
    <s v="High"/>
  </r>
  <r>
    <s v="ORD-0231"/>
    <s v="2026-04-08"/>
    <x v="7"/>
    <x v="2"/>
    <x v="24"/>
    <x v="0"/>
    <n v="19"/>
    <n v="39.99"/>
    <n v="759.81000000000006"/>
    <n v="0"/>
    <n v="759.81000000000006"/>
    <s v="Completed"/>
    <n v="759.81000000000006"/>
    <n v="719.82"/>
    <x v="3"/>
    <n v="-719.82"/>
    <n v="0.94736842105263153"/>
    <n v="39.99"/>
    <s v="Large"/>
    <s v="High"/>
  </r>
  <r>
    <s v="ORD-0012"/>
    <s v="2026-04-10"/>
    <x v="3"/>
    <x v="2"/>
    <x v="16"/>
    <x v="1"/>
    <n v="13"/>
    <n v="599"/>
    <n v="7787"/>
    <n v="5"/>
    <n v="7397.65"/>
    <s v="Pending"/>
    <n v="7787"/>
    <n v="7188"/>
    <x v="3"/>
    <n v="-6798.65"/>
    <n v="0.97165991902834015"/>
    <n v="569.04999999999995"/>
    <s v="Large"/>
    <s v="Low"/>
  </r>
  <r>
    <s v="ORD-0155"/>
    <s v="2026-04-10"/>
    <x v="3"/>
    <x v="2"/>
    <x v="11"/>
    <x v="2"/>
    <n v="23"/>
    <n v="49.99"/>
    <n v="1149.77"/>
    <n v="5"/>
    <n v="1092.2814999999998"/>
    <s v="Completed"/>
    <n v="1149.77"/>
    <n v="1099.78"/>
    <x v="3"/>
    <n v="-1042.2914999999998"/>
    <n v="1.0068649885583525"/>
    <n v="47.49049999999999"/>
    <s v="Large"/>
    <s v="High"/>
  </r>
  <r>
    <s v="ORD-0239"/>
    <s v="2026-04-10"/>
    <x v="5"/>
    <x v="0"/>
    <x v="2"/>
    <x v="2"/>
    <n v="14"/>
    <n v="29.99"/>
    <n v="419.85999999999996"/>
    <n v="8"/>
    <n v="386.27119999999996"/>
    <s v="Completed"/>
    <n v="419.85999999999996"/>
    <n v="389.86999999999995"/>
    <x v="3"/>
    <n v="-356.28119999999996"/>
    <n v="1.0093167701863353"/>
    <n v="27.590799999999998"/>
    <s v="Large"/>
    <s v="High"/>
  </r>
  <r>
    <s v="ORD-0252"/>
    <s v="2026-04-10"/>
    <x v="2"/>
    <x v="1"/>
    <x v="10"/>
    <x v="1"/>
    <n v="13"/>
    <n v="249"/>
    <n v="3237"/>
    <n v="10"/>
    <n v="2913.3"/>
    <s v="Completed"/>
    <n v="3237"/>
    <n v="2988"/>
    <x v="3"/>
    <n v="-2664.3"/>
    <n v="1.0256410256410255"/>
    <n v="224.10000000000002"/>
    <s v="Large"/>
    <s v="Low"/>
  </r>
  <r>
    <s v="ORD-0426"/>
    <s v="2026-04-10"/>
    <x v="2"/>
    <x v="1"/>
    <x v="4"/>
    <x v="0"/>
    <n v="26"/>
    <n v="299"/>
    <n v="7774"/>
    <n v="0"/>
    <n v="7774"/>
    <s v="Completed"/>
    <n v="7774"/>
    <n v="7475"/>
    <x v="3"/>
    <n v="-7475"/>
    <n v="0.96153846153846156"/>
    <n v="299"/>
    <s v="Large"/>
    <s v="High"/>
  </r>
  <r>
    <s v="ORD-0114"/>
    <s v="2026-04-11"/>
    <x v="4"/>
    <x v="3"/>
    <x v="3"/>
    <x v="2"/>
    <n v="11"/>
    <n v="19.989999999999998"/>
    <n v="219.89"/>
    <n v="5"/>
    <n v="208.89549999999997"/>
    <s v="Completed"/>
    <n v="219.89"/>
    <n v="199.89999999999998"/>
    <x v="3"/>
    <n v="-188.90549999999996"/>
    <n v="0.9569377990430622"/>
    <n v="18.990499999999997"/>
    <s v="Large"/>
    <s v="High"/>
  </r>
  <r>
    <s v="ORD-0167"/>
    <s v="2026-04-11"/>
    <x v="1"/>
    <x v="1"/>
    <x v="7"/>
    <x v="3"/>
    <n v="18"/>
    <n v="49.99"/>
    <n v="899.82"/>
    <n v="0"/>
    <n v="899.82"/>
    <s v="Completed"/>
    <n v="899.82"/>
    <n v="849.83"/>
    <x v="3"/>
    <n v="-849.83"/>
    <n v="0.94444444444444442"/>
    <n v="49.99"/>
    <s v="Large"/>
    <s v="Low"/>
  </r>
  <r>
    <s v="ORD-0097"/>
    <s v="2026-04-13"/>
    <x v="2"/>
    <x v="1"/>
    <x v="2"/>
    <x v="2"/>
    <n v="30"/>
    <n v="29.99"/>
    <n v="899.69999999999993"/>
    <n v="0"/>
    <n v="899.69999999999993"/>
    <s v="Completed"/>
    <n v="899.69999999999993"/>
    <n v="869.70999999999992"/>
    <x v="3"/>
    <n v="-869.70999999999992"/>
    <n v="0.96666666666666667"/>
    <n v="29.99"/>
    <s v="Large"/>
    <s v="Low"/>
  </r>
  <r>
    <s v="ORD-0198"/>
    <s v="2026-04-13"/>
    <x v="4"/>
    <x v="3"/>
    <x v="13"/>
    <x v="3"/>
    <n v="14"/>
    <n v="59.99"/>
    <n v="839.86"/>
    <n v="5"/>
    <n v="797.86699999999996"/>
    <s v="Completed"/>
    <n v="839.86"/>
    <n v="779.87"/>
    <x v="3"/>
    <n v="-737.87699999999995"/>
    <n v="0.97744360902255645"/>
    <n v="56.990499999999997"/>
    <s v="Large"/>
    <s v="Low"/>
  </r>
  <r>
    <s v="ORD-0265"/>
    <s v="2026-04-17"/>
    <x v="1"/>
    <x v="1"/>
    <x v="8"/>
    <x v="1"/>
    <n v="11"/>
    <n v="1299"/>
    <n v="14289"/>
    <n v="0"/>
    <n v="14289"/>
    <s v="Pending"/>
    <n v="14289"/>
    <n v="12990"/>
    <x v="3"/>
    <n v="-12990"/>
    <n v="0.90909090909090906"/>
    <n v="1299"/>
    <s v="Large"/>
    <s v="Low"/>
  </r>
  <r>
    <s v="ORD-0464"/>
    <s v="2026-04-17"/>
    <x v="5"/>
    <x v="0"/>
    <x v="18"/>
    <x v="3"/>
    <n v="21"/>
    <n v="99"/>
    <n v="2079"/>
    <n v="12"/>
    <n v="1829.52"/>
    <s v="Completed"/>
    <n v="2079"/>
    <n v="1980"/>
    <x v="3"/>
    <n v="-1730.52"/>
    <n v="1.0822510822510822"/>
    <n v="87.12"/>
    <s v="Large"/>
    <s v="High"/>
  </r>
  <r>
    <s v="ORD-0169"/>
    <s v="2026-04-19"/>
    <x v="9"/>
    <x v="1"/>
    <x v="12"/>
    <x v="3"/>
    <n v="28"/>
    <n v="149"/>
    <n v="4172"/>
    <n v="15"/>
    <n v="3546.2"/>
    <s v="Completed"/>
    <n v="4172"/>
    <n v="4023"/>
    <x v="3"/>
    <n v="-3397.2"/>
    <n v="1.134453781512605"/>
    <n v="126.64999999999999"/>
    <s v="Large"/>
    <s v="High"/>
  </r>
  <r>
    <s v="ORD-0427"/>
    <s v="2026-04-19"/>
    <x v="2"/>
    <x v="1"/>
    <x v="9"/>
    <x v="0"/>
    <n v="15"/>
    <n v="549"/>
    <n v="8235"/>
    <n v="0"/>
    <n v="8235"/>
    <s v="Pending"/>
    <n v="8235"/>
    <n v="7686"/>
    <x v="3"/>
    <n v="-7686"/>
    <n v="0.93333333333333335"/>
    <n v="549"/>
    <s v="Large"/>
    <s v="High"/>
  </r>
  <r>
    <s v="ORD-0448"/>
    <s v="2026-04-20"/>
    <x v="3"/>
    <x v="2"/>
    <x v="11"/>
    <x v="2"/>
    <n v="28"/>
    <n v="49.99"/>
    <n v="1399.72"/>
    <n v="0"/>
    <n v="1399.72"/>
    <s v="Completed"/>
    <n v="1399.72"/>
    <n v="1349.73"/>
    <x v="3"/>
    <n v="-1349.73"/>
    <n v="0.9642857142857143"/>
    <n v="49.99"/>
    <s v="Large"/>
    <s v="High"/>
  </r>
  <r>
    <s v="ORD-0096"/>
    <s v="2026-04-21"/>
    <x v="1"/>
    <x v="1"/>
    <x v="2"/>
    <x v="2"/>
    <n v="6"/>
    <n v="29.99"/>
    <n v="179.94"/>
    <n v="15"/>
    <n v="152.94899999999998"/>
    <s v="Completed"/>
    <n v="179.94"/>
    <n v="149.94999999999999"/>
    <x v="3"/>
    <n v="-122.95899999999999"/>
    <n v="0.98039215686274517"/>
    <n v="25.491499999999998"/>
    <s v="Small"/>
    <s v="High"/>
  </r>
  <r>
    <s v="ORD-0088"/>
    <s v="2026-04-22"/>
    <x v="6"/>
    <x v="3"/>
    <x v="20"/>
    <x v="0"/>
    <n v="21"/>
    <n v="169"/>
    <n v="3549"/>
    <n v="8"/>
    <n v="3265.08"/>
    <s v="Completed"/>
    <n v="3549"/>
    <n v="3380"/>
    <x v="3"/>
    <n v="-3096.08"/>
    <n v="1.0351966873706004"/>
    <n v="155.47999999999999"/>
    <s v="Large"/>
    <s v="Low"/>
  </r>
  <r>
    <s v="ORD-0105"/>
    <s v="2026-04-23"/>
    <x v="1"/>
    <x v="1"/>
    <x v="9"/>
    <x v="0"/>
    <n v="11"/>
    <n v="549"/>
    <n v="6039"/>
    <n v="15"/>
    <n v="5133.1499999999996"/>
    <s v="Completed"/>
    <n v="6039"/>
    <n v="5490"/>
    <x v="3"/>
    <n v="-4584.1499999999996"/>
    <n v="1.0695187165775402"/>
    <n v="466.65"/>
    <s v="Large"/>
    <s v="High"/>
  </r>
  <r>
    <s v="ORD-0457"/>
    <s v="2026-04-23"/>
    <x v="7"/>
    <x v="2"/>
    <x v="7"/>
    <x v="3"/>
    <n v="10"/>
    <n v="49.99"/>
    <n v="499.90000000000003"/>
    <n v="10"/>
    <n v="449.91"/>
    <s v="Completed"/>
    <n v="499.90000000000003"/>
    <n v="449.91"/>
    <x v="3"/>
    <n v="-399.92"/>
    <n v="1"/>
    <n v="44.991"/>
    <s v="Large"/>
    <s v="High"/>
  </r>
  <r>
    <s v="ORD-0344"/>
    <s v="2026-04-24"/>
    <x v="9"/>
    <x v="1"/>
    <x v="21"/>
    <x v="2"/>
    <n v="18"/>
    <n v="79.989999999999995"/>
    <n v="1439.82"/>
    <n v="8"/>
    <n v="1324.6343999999999"/>
    <s v="Completed"/>
    <n v="1439.82"/>
    <n v="1359.83"/>
    <x v="3"/>
    <n v="-1244.6443999999999"/>
    <n v="1.0265700483091789"/>
    <n v="73.590800000000002"/>
    <s v="Large"/>
    <s v="Low"/>
  </r>
  <r>
    <s v="ORD-0273"/>
    <s v="2026-04-26"/>
    <x v="7"/>
    <x v="2"/>
    <x v="22"/>
    <x v="1"/>
    <n v="15"/>
    <n v="79.989999999999995"/>
    <n v="1199.8499999999999"/>
    <n v="0"/>
    <n v="1199.8499999999999"/>
    <s v="Completed"/>
    <n v="1199.8499999999999"/>
    <n v="1119.8599999999999"/>
    <x v="3"/>
    <n v="-1119.8599999999999"/>
    <n v="0.93333333333333335"/>
    <n v="79.989999999999995"/>
    <s v="Large"/>
    <s v="High"/>
  </r>
  <r>
    <s v="ORD-0116"/>
    <s v="2026-04-27"/>
    <x v="1"/>
    <x v="1"/>
    <x v="17"/>
    <x v="2"/>
    <n v="27"/>
    <n v="89.99"/>
    <n v="2429.73"/>
    <n v="0"/>
    <n v="2429.73"/>
    <s v="Completed"/>
    <n v="2429.73"/>
    <n v="2339.7400000000002"/>
    <x v="3"/>
    <n v="-2339.7400000000002"/>
    <n v="0.96296296296296302"/>
    <n v="89.99"/>
    <s v="Large"/>
    <s v="High"/>
  </r>
  <r>
    <s v="ORD-0163"/>
    <s v="2026-04-27"/>
    <x v="9"/>
    <x v="1"/>
    <x v="7"/>
    <x v="3"/>
    <n v="25"/>
    <n v="49.99"/>
    <n v="1249.75"/>
    <n v="0"/>
    <n v="1249.75"/>
    <s v="Completed"/>
    <n v="1249.75"/>
    <n v="1199.76"/>
    <x v="3"/>
    <n v="-1199.76"/>
    <n v="0.96"/>
    <n v="49.99"/>
    <s v="Large"/>
    <s v="High"/>
  </r>
  <r>
    <s v="ORD-0420"/>
    <s v="2026-04-28"/>
    <x v="6"/>
    <x v="3"/>
    <x v="21"/>
    <x v="2"/>
    <n v="14"/>
    <n v="79.989999999999995"/>
    <n v="1119.8599999999999"/>
    <n v="15"/>
    <n v="951.88099999999986"/>
    <s v="Cancelled"/>
    <n v="1119.8599999999999"/>
    <n v="1039.8699999999999"/>
    <x v="3"/>
    <n v="-871.89099999999985"/>
    <n v="1.0924369747899161"/>
    <n v="67.991499999999988"/>
    <s v="Large"/>
    <s v="High"/>
  </r>
  <r>
    <s v="ORD-0430"/>
    <s v="2026-04-29"/>
    <x v="8"/>
    <x v="3"/>
    <x v="0"/>
    <x v="0"/>
    <n v="2"/>
    <n v="129"/>
    <n v="258"/>
    <n v="0"/>
    <n v="258"/>
    <s v="Completed"/>
    <n v="258"/>
    <n v="129"/>
    <x v="3"/>
    <n v="-129"/>
    <n v="0.5"/>
    <n v="129"/>
    <s v="Small"/>
    <s v="Low"/>
  </r>
  <r>
    <s v="ORD-0089"/>
    <s v="2026-04-30"/>
    <x v="5"/>
    <x v="0"/>
    <x v="12"/>
    <x v="3"/>
    <n v="7"/>
    <n v="149"/>
    <n v="1043"/>
    <n v="15"/>
    <n v="886.55"/>
    <s v="Pending"/>
    <n v="1043"/>
    <n v="894"/>
    <x v="3"/>
    <n v="-737.55"/>
    <n v="1.0084033613445378"/>
    <n v="126.64999999999999"/>
    <s v="Small"/>
    <s v="Low"/>
  </r>
  <r>
    <s v="ORD-0119"/>
    <s v="2026-04-30"/>
    <x v="6"/>
    <x v="3"/>
    <x v="22"/>
    <x v="1"/>
    <n v="8"/>
    <n v="79.989999999999995"/>
    <n v="639.91999999999996"/>
    <n v="0"/>
    <n v="639.91999999999996"/>
    <s v="Pending"/>
    <n v="639.91999999999996"/>
    <n v="559.92999999999995"/>
    <x v="3"/>
    <n v="-559.92999999999995"/>
    <n v="0.875"/>
    <n v="79.989999999999995"/>
    <s v="Small"/>
    <s v="Low"/>
  </r>
  <r>
    <s v="ORD-0447"/>
    <s v="2026-04-30"/>
    <x v="4"/>
    <x v="3"/>
    <x v="3"/>
    <x v="2"/>
    <n v="6"/>
    <n v="19.989999999999998"/>
    <n v="119.94"/>
    <n v="15"/>
    <n v="101.949"/>
    <s v="Completed"/>
    <n v="119.94"/>
    <n v="99.95"/>
    <x v="3"/>
    <n v="-81.959000000000003"/>
    <n v="0.98039215686274517"/>
    <n v="16.991499999999998"/>
    <s v="Small"/>
    <s v="Low"/>
  </r>
  <r>
    <s v="ORD-0230"/>
    <s v="2026-05-03"/>
    <x v="1"/>
    <x v="1"/>
    <x v="24"/>
    <x v="0"/>
    <n v="4"/>
    <n v="39.99"/>
    <n v="159.96"/>
    <n v="0"/>
    <n v="159.96"/>
    <s v="Completed"/>
    <n v="159.96"/>
    <n v="119.97"/>
    <x v="4"/>
    <n v="-119.97"/>
    <n v="0.75"/>
    <n v="39.99"/>
    <s v="Small"/>
    <s v="Low"/>
  </r>
  <r>
    <s v="ORD-0477"/>
    <s v="2026-05-03"/>
    <x v="1"/>
    <x v="1"/>
    <x v="3"/>
    <x v="2"/>
    <n v="13"/>
    <n v="19.989999999999998"/>
    <n v="259.87"/>
    <n v="15"/>
    <n v="220.8895"/>
    <s v="Completed"/>
    <n v="259.87"/>
    <n v="239.88"/>
    <x v="4"/>
    <n v="-200.89949999999999"/>
    <n v="1.0859728506787329"/>
    <n v="16.991499999999998"/>
    <s v="Large"/>
    <s v="Low"/>
  </r>
  <r>
    <s v="ORD-0107"/>
    <s v="2026-05-04"/>
    <x v="6"/>
    <x v="3"/>
    <x v="14"/>
    <x v="3"/>
    <n v="1"/>
    <n v="299"/>
    <n v="299"/>
    <n v="10"/>
    <n v="269.10000000000002"/>
    <s v="Completed"/>
    <n v="299"/>
    <n v="0"/>
    <x v="4"/>
    <n v="29.899999999999977"/>
    <n v="0"/>
    <n v="269.10000000000002"/>
    <s v="Small"/>
    <s v="Low"/>
  </r>
  <r>
    <s v="ORD-0146"/>
    <s v="2026-05-05"/>
    <x v="7"/>
    <x v="2"/>
    <x v="15"/>
    <x v="1"/>
    <n v="2"/>
    <n v="149.99"/>
    <n v="299.98"/>
    <n v="5"/>
    <n v="284.98099999999999"/>
    <s v="Completed"/>
    <n v="299.98"/>
    <n v="149.99"/>
    <x v="4"/>
    <n v="-134.99099999999999"/>
    <n v="0.52631578947368429"/>
    <n v="142.4905"/>
    <s v="Small"/>
    <s v="Low"/>
  </r>
  <r>
    <s v="ORD-0145"/>
    <s v="2026-05-06"/>
    <x v="9"/>
    <x v="1"/>
    <x v="19"/>
    <x v="0"/>
    <n v="10"/>
    <n v="199"/>
    <n v="1990"/>
    <n v="12"/>
    <n v="1751.2"/>
    <s v="Completed"/>
    <n v="1990"/>
    <n v="1791"/>
    <x v="4"/>
    <n v="-1552.2"/>
    <n v="1.0227272727272727"/>
    <n v="175.12"/>
    <s v="Large"/>
    <s v="Low"/>
  </r>
  <r>
    <s v="ORD-0047"/>
    <s v="2026-05-08"/>
    <x v="3"/>
    <x v="2"/>
    <x v="15"/>
    <x v="1"/>
    <n v="14"/>
    <n v="149.99"/>
    <n v="2099.86"/>
    <n v="12"/>
    <n v="1847.8768000000002"/>
    <s v="Completed"/>
    <n v="2099.86"/>
    <n v="1949.8700000000001"/>
    <x v="4"/>
    <n v="-1697.8868000000002"/>
    <n v="1.055194805194805"/>
    <n v="131.99120000000002"/>
    <s v="Large"/>
    <s v="High"/>
  </r>
  <r>
    <s v="ORD-0358"/>
    <s v="2026-05-10"/>
    <x v="2"/>
    <x v="1"/>
    <x v="11"/>
    <x v="2"/>
    <n v="21"/>
    <n v="49.99"/>
    <n v="1049.79"/>
    <n v="5"/>
    <n v="997.30049999999994"/>
    <s v="Completed"/>
    <n v="1049.79"/>
    <n v="999.8"/>
    <x v="4"/>
    <n v="-947.31049999999993"/>
    <n v="1.0025062656641603"/>
    <n v="47.490499999999997"/>
    <s v="Large"/>
    <s v="High"/>
  </r>
  <r>
    <s v="ORD-0469"/>
    <s v="2026-05-10"/>
    <x v="2"/>
    <x v="1"/>
    <x v="4"/>
    <x v="0"/>
    <n v="12"/>
    <n v="299"/>
    <n v="3588"/>
    <n v="0"/>
    <n v="3588"/>
    <s v="Pending"/>
    <n v="3588"/>
    <n v="3289"/>
    <x v="4"/>
    <n v="-3289"/>
    <n v="0.91666666666666663"/>
    <n v="299"/>
    <s v="Large"/>
    <s v="Low"/>
  </r>
  <r>
    <s v="ORD-0128"/>
    <s v="2026-05-11"/>
    <x v="0"/>
    <x v="0"/>
    <x v="18"/>
    <x v="3"/>
    <n v="17"/>
    <n v="99"/>
    <n v="1683"/>
    <n v="5"/>
    <n v="1598.85"/>
    <s v="Completed"/>
    <n v="1683"/>
    <n v="1584"/>
    <x v="4"/>
    <n v="-1499.85"/>
    <n v="0.99071207430340558"/>
    <n v="94.05"/>
    <s v="Large"/>
    <s v="High"/>
  </r>
  <r>
    <s v="ORD-0101"/>
    <s v="2026-05-12"/>
    <x v="3"/>
    <x v="2"/>
    <x v="13"/>
    <x v="3"/>
    <n v="9"/>
    <n v="59.99"/>
    <n v="539.91"/>
    <n v="15"/>
    <n v="458.92349999999993"/>
    <s v="Pending"/>
    <n v="539.91"/>
    <n v="479.91999999999996"/>
    <x v="4"/>
    <n v="-398.93349999999992"/>
    <n v="1.0457516339869282"/>
    <n v="50.991499999999995"/>
    <s v="Small"/>
    <s v="High"/>
  </r>
  <r>
    <s v="ORD-0049"/>
    <s v="2026-05-14"/>
    <x v="4"/>
    <x v="3"/>
    <x v="4"/>
    <x v="0"/>
    <n v="10"/>
    <n v="299"/>
    <n v="2990"/>
    <n v="10"/>
    <n v="2691"/>
    <s v="Completed"/>
    <n v="2990"/>
    <n v="2691"/>
    <x v="4"/>
    <n v="-2392"/>
    <n v="1"/>
    <n v="269.10000000000002"/>
    <s v="Large"/>
    <s v="Low"/>
  </r>
  <r>
    <s v="ORD-0109"/>
    <s v="2026-05-15"/>
    <x v="2"/>
    <x v="1"/>
    <x v="20"/>
    <x v="0"/>
    <n v="29"/>
    <n v="169"/>
    <n v="4901"/>
    <n v="5"/>
    <n v="4655.95"/>
    <s v="Completed"/>
    <n v="4901"/>
    <n v="4732"/>
    <x v="4"/>
    <n v="-4486.95"/>
    <n v="1.0163339382940109"/>
    <n v="160.54999999999998"/>
    <s v="Large"/>
    <s v="High"/>
  </r>
  <r>
    <s v="ORD-0134"/>
    <s v="2026-05-16"/>
    <x v="3"/>
    <x v="2"/>
    <x v="5"/>
    <x v="1"/>
    <n v="8"/>
    <n v="399"/>
    <n v="3192"/>
    <n v="10"/>
    <n v="2872.8"/>
    <s v="Completed"/>
    <n v="3192"/>
    <n v="2793"/>
    <x v="4"/>
    <n v="-2473.8000000000002"/>
    <n v="0.97222222222222221"/>
    <n v="359.1"/>
    <s v="Small"/>
    <s v="High"/>
  </r>
  <r>
    <s v="ORD-0393"/>
    <s v="2026-05-16"/>
    <x v="4"/>
    <x v="3"/>
    <x v="7"/>
    <x v="3"/>
    <n v="10"/>
    <n v="49.99"/>
    <n v="499.90000000000003"/>
    <n v="5"/>
    <n v="474.90500000000003"/>
    <s v="Completed"/>
    <n v="499.90000000000003"/>
    <n v="449.91"/>
    <x v="4"/>
    <n v="-424.91500000000002"/>
    <n v="0.94736842105263153"/>
    <n v="47.490500000000004"/>
    <s v="Large"/>
    <s v="High"/>
  </r>
  <r>
    <s v="ORD-0425"/>
    <s v="2026-05-16"/>
    <x v="5"/>
    <x v="0"/>
    <x v="16"/>
    <x v="1"/>
    <n v="22"/>
    <n v="599"/>
    <n v="13178"/>
    <n v="5"/>
    <n v="12519.099999999999"/>
    <s v="Completed"/>
    <n v="13178"/>
    <n v="12579"/>
    <x v="4"/>
    <n v="-11920.099999999999"/>
    <n v="1.0047846889952154"/>
    <n v="569.04999999999995"/>
    <s v="Large"/>
    <s v="Low"/>
  </r>
  <r>
    <s v="ORD-0465"/>
    <s v="2026-05-16"/>
    <x v="7"/>
    <x v="2"/>
    <x v="15"/>
    <x v="1"/>
    <n v="5"/>
    <n v="149.99"/>
    <n v="749.95"/>
    <n v="15"/>
    <n v="637.45749999999998"/>
    <s v="Completed"/>
    <n v="749.95"/>
    <n v="599.96"/>
    <x v="4"/>
    <n v="-487.46749999999997"/>
    <n v="0.94117647058823539"/>
    <n v="127.4915"/>
    <s v="Small"/>
    <s v="High"/>
  </r>
  <r>
    <s v="ORD-0126"/>
    <s v="2026-05-17"/>
    <x v="7"/>
    <x v="2"/>
    <x v="8"/>
    <x v="1"/>
    <n v="28"/>
    <n v="1299"/>
    <n v="36372"/>
    <n v="10"/>
    <n v="32734.799999999999"/>
    <s v="Completed"/>
    <n v="36372"/>
    <n v="35073"/>
    <x v="4"/>
    <n v="-31435.8"/>
    <n v="1.0714285714285714"/>
    <n v="1169.0999999999999"/>
    <s v="Large"/>
    <s v="Low"/>
  </r>
  <r>
    <s v="ORD-0218"/>
    <s v="2026-05-17"/>
    <x v="0"/>
    <x v="0"/>
    <x v="9"/>
    <x v="0"/>
    <n v="21"/>
    <n v="549"/>
    <n v="11529"/>
    <n v="0"/>
    <n v="11529"/>
    <s v="Completed"/>
    <n v="11529"/>
    <n v="10980"/>
    <x v="4"/>
    <n v="-10980"/>
    <n v="0.95238095238095233"/>
    <n v="549"/>
    <s v="Large"/>
    <s v="High"/>
  </r>
  <r>
    <s v="ORD-0381"/>
    <s v="2026-05-17"/>
    <x v="7"/>
    <x v="2"/>
    <x v="24"/>
    <x v="0"/>
    <n v="27"/>
    <n v="39.99"/>
    <n v="1079.73"/>
    <n v="15"/>
    <n v="917.77049999999997"/>
    <s v="Pending"/>
    <n v="1079.73"/>
    <n v="1039.74"/>
    <x v="4"/>
    <n v="-877.78049999999996"/>
    <n v="1.1328976034858389"/>
    <n v="33.991500000000002"/>
    <s v="Large"/>
    <s v="High"/>
  </r>
  <r>
    <s v="ORD-0144"/>
    <s v="2026-05-18"/>
    <x v="9"/>
    <x v="1"/>
    <x v="0"/>
    <x v="0"/>
    <n v="10"/>
    <n v="129"/>
    <n v="1290"/>
    <n v="0"/>
    <n v="1290"/>
    <s v="Completed"/>
    <n v="1290"/>
    <n v="1161"/>
    <x v="4"/>
    <n v="-1161"/>
    <n v="0.9"/>
    <n v="129"/>
    <s v="Large"/>
    <s v="Low"/>
  </r>
  <r>
    <s v="ORD-0164"/>
    <s v="2026-05-19"/>
    <x v="5"/>
    <x v="0"/>
    <x v="17"/>
    <x v="2"/>
    <n v="6"/>
    <n v="89.99"/>
    <n v="539.93999999999994"/>
    <n v="10"/>
    <n v="485.94599999999997"/>
    <s v="Completed"/>
    <n v="539.93999999999994"/>
    <n v="449.94999999999993"/>
    <x v="4"/>
    <n v="-395.95599999999996"/>
    <n v="0.92592592592592582"/>
    <n v="80.991"/>
    <s v="Small"/>
    <s v="High"/>
  </r>
  <r>
    <s v="ORD-0408"/>
    <s v="2026-05-21"/>
    <x v="5"/>
    <x v="0"/>
    <x v="13"/>
    <x v="3"/>
    <n v="18"/>
    <n v="59.99"/>
    <n v="1079.82"/>
    <n v="15"/>
    <n v="917.84699999999987"/>
    <s v="Completed"/>
    <n v="1079.82"/>
    <n v="1019.8299999999999"/>
    <x v="4"/>
    <n v="-857.85699999999986"/>
    <n v="1.1111111111111112"/>
    <n v="50.991499999999995"/>
    <s v="Large"/>
    <s v="Low"/>
  </r>
  <r>
    <s v="ORD-0094"/>
    <s v="2026-05-22"/>
    <x v="6"/>
    <x v="3"/>
    <x v="10"/>
    <x v="1"/>
    <n v="23"/>
    <n v="249"/>
    <n v="5727"/>
    <n v="10"/>
    <n v="5154.3"/>
    <s v="Completed"/>
    <n v="5727"/>
    <n v="5478"/>
    <x v="4"/>
    <n v="-4905.3"/>
    <n v="1.0628019323671498"/>
    <n v="224.1"/>
    <s v="Large"/>
    <s v="Low"/>
  </r>
  <r>
    <s v="ORD-0166"/>
    <s v="2026-05-23"/>
    <x v="8"/>
    <x v="3"/>
    <x v="15"/>
    <x v="1"/>
    <n v="11"/>
    <n v="149.99"/>
    <n v="1649.89"/>
    <n v="10"/>
    <n v="1484.9010000000001"/>
    <s v="Completed"/>
    <n v="1649.89"/>
    <n v="1499.9"/>
    <x v="4"/>
    <n v="-1334.9110000000001"/>
    <n v="1.0101010101010102"/>
    <n v="134.99100000000001"/>
    <s v="Large"/>
    <s v="High"/>
  </r>
  <r>
    <s v="ORD-0500"/>
    <s v="2026-05-23"/>
    <x v="8"/>
    <x v="3"/>
    <x v="21"/>
    <x v="2"/>
    <n v="9"/>
    <n v="79.989999999999995"/>
    <n v="719.91"/>
    <n v="5"/>
    <n v="683.91449999999998"/>
    <s v="Completed"/>
    <n v="719.91"/>
    <n v="639.91999999999996"/>
    <x v="4"/>
    <n v="-603.92449999999997"/>
    <n v="0.93567251461988299"/>
    <n v="75.990499999999997"/>
    <s v="Small"/>
    <s v="High"/>
  </r>
  <r>
    <s v="ORD-0201"/>
    <s v="2026-05-24"/>
    <x v="1"/>
    <x v="1"/>
    <x v="17"/>
    <x v="2"/>
    <n v="1"/>
    <n v="89.99"/>
    <n v="89.99"/>
    <n v="0"/>
    <n v="89.99"/>
    <s v="Completed"/>
    <n v="89.99"/>
    <n v="0"/>
    <x v="4"/>
    <n v="0"/>
    <n v="0"/>
    <n v="89.99"/>
    <s v="Small"/>
    <s v="Low"/>
  </r>
  <r>
    <s v="ORD-0357"/>
    <s v="2026-05-25"/>
    <x v="6"/>
    <x v="3"/>
    <x v="9"/>
    <x v="0"/>
    <n v="20"/>
    <n v="549"/>
    <n v="10980"/>
    <n v="0"/>
    <n v="10980"/>
    <s v="Pending"/>
    <n v="10980"/>
    <n v="10431"/>
    <x v="4"/>
    <n v="-10431"/>
    <n v="0.95"/>
    <n v="549"/>
    <s v="Large"/>
    <s v="Low"/>
  </r>
  <r>
    <s v="ORD-0367"/>
    <s v="2026-05-25"/>
    <x v="5"/>
    <x v="0"/>
    <x v="23"/>
    <x v="0"/>
    <n v="29"/>
    <n v="449"/>
    <n v="13021"/>
    <n v="5"/>
    <n v="12369.949999999999"/>
    <s v="Completed"/>
    <n v="13021"/>
    <n v="12572"/>
    <x v="4"/>
    <n v="-11920.949999999999"/>
    <n v="1.0163339382940111"/>
    <n v="426.54999999999995"/>
    <s v="Large"/>
    <s v="High"/>
  </r>
  <r>
    <s v="ORD-0170"/>
    <s v="2026-05-26"/>
    <x v="9"/>
    <x v="1"/>
    <x v="10"/>
    <x v="1"/>
    <n v="17"/>
    <n v="249"/>
    <n v="4233"/>
    <n v="8"/>
    <n v="3894.36"/>
    <s v="Pending"/>
    <n v="4233"/>
    <n v="3984"/>
    <x v="4"/>
    <n v="-3645.36"/>
    <n v="1.0230179028132993"/>
    <n v="229.08"/>
    <s v="Large"/>
    <s v="High"/>
  </r>
  <r>
    <s v="ORD-0175"/>
    <s v="2026-05-26"/>
    <x v="5"/>
    <x v="0"/>
    <x v="16"/>
    <x v="1"/>
    <n v="21"/>
    <n v="599"/>
    <n v="12579"/>
    <n v="0"/>
    <n v="12579"/>
    <s v="Pending"/>
    <n v="12579"/>
    <n v="11980"/>
    <x v="4"/>
    <n v="-11980"/>
    <n v="0.95238095238095233"/>
    <n v="599"/>
    <s v="Large"/>
    <s v="High"/>
  </r>
  <r>
    <s v="ORD-0366"/>
    <s v="2026-05-26"/>
    <x v="7"/>
    <x v="2"/>
    <x v="10"/>
    <x v="1"/>
    <n v="25"/>
    <n v="249"/>
    <n v="6225"/>
    <n v="0"/>
    <n v="6225"/>
    <s v="Completed"/>
    <n v="6225"/>
    <n v="5976"/>
    <x v="4"/>
    <n v="-5976"/>
    <n v="0.96"/>
    <n v="249"/>
    <s v="Large"/>
    <s v="High"/>
  </r>
  <r>
    <s v="ORD-0018"/>
    <s v="2026-05-27"/>
    <x v="6"/>
    <x v="3"/>
    <x v="14"/>
    <x v="3"/>
    <n v="11"/>
    <n v="299"/>
    <n v="3289"/>
    <n v="5"/>
    <n v="3124.5499999999997"/>
    <s v="Completed"/>
    <n v="3289"/>
    <n v="2990"/>
    <x v="4"/>
    <n v="-2825.5499999999997"/>
    <n v="0.95693779904306231"/>
    <n v="284.04999999999995"/>
    <s v="Large"/>
    <s v="High"/>
  </r>
  <r>
    <s v="ORD-0478"/>
    <s v="2026-05-27"/>
    <x v="9"/>
    <x v="1"/>
    <x v="14"/>
    <x v="3"/>
    <n v="6"/>
    <n v="299"/>
    <n v="1794"/>
    <n v="0"/>
    <n v="1794"/>
    <s v="Completed"/>
    <n v="1794"/>
    <n v="1495"/>
    <x v="4"/>
    <n v="-1495"/>
    <n v="0.83333333333333337"/>
    <n v="299"/>
    <s v="Small"/>
    <s v="High"/>
  </r>
  <r>
    <s v="ORD-0026"/>
    <s v="2026-05-28"/>
    <x v="9"/>
    <x v="1"/>
    <x v="18"/>
    <x v="3"/>
    <n v="29"/>
    <n v="99"/>
    <n v="2871"/>
    <n v="5"/>
    <n v="2727.45"/>
    <s v="Cancelled"/>
    <n v="2871"/>
    <n v="2772"/>
    <x v="4"/>
    <n v="-2628.45"/>
    <n v="1.0163339382940109"/>
    <n v="94.05"/>
    <s v="Large"/>
    <s v="High"/>
  </r>
  <r>
    <s v="ORD-0261"/>
    <s v="2026-05-28"/>
    <x v="0"/>
    <x v="0"/>
    <x v="3"/>
    <x v="2"/>
    <n v="18"/>
    <n v="19.989999999999998"/>
    <n v="359.82"/>
    <n v="5"/>
    <n v="341.82899999999995"/>
    <s v="Completed"/>
    <n v="359.82"/>
    <n v="339.83"/>
    <x v="4"/>
    <n v="-321.83899999999994"/>
    <n v="0.99415204678362579"/>
    <n v="18.990499999999997"/>
    <s v="Large"/>
    <s v="High"/>
  </r>
  <r>
    <s v="ORD-0278"/>
    <s v="2026-05-29"/>
    <x v="3"/>
    <x v="2"/>
    <x v="6"/>
    <x v="2"/>
    <n v="20"/>
    <n v="59.99"/>
    <n v="1199.8"/>
    <n v="12"/>
    <n v="1055.8240000000001"/>
    <s v="Completed"/>
    <n v="1199.8"/>
    <n v="1139.81"/>
    <x v="4"/>
    <n v="-995.83400000000006"/>
    <n v="1.0795454545454544"/>
    <n v="52.791200000000003"/>
    <s v="Large"/>
    <s v="Low"/>
  </r>
  <r>
    <s v="ORD-0051"/>
    <s v="2026-05-30"/>
    <x v="7"/>
    <x v="2"/>
    <x v="1"/>
    <x v="1"/>
    <n v="2"/>
    <n v="999"/>
    <n v="1998"/>
    <n v="12"/>
    <n v="1758.24"/>
    <s v="Completed"/>
    <n v="1998"/>
    <n v="999"/>
    <x v="4"/>
    <n v="-759.24"/>
    <n v="0.56818181818181823"/>
    <n v="879.12"/>
    <s v="Small"/>
    <s v="High"/>
  </r>
  <r>
    <s v="ORD-0184"/>
    <s v="2026-05-30"/>
    <x v="0"/>
    <x v="0"/>
    <x v="23"/>
    <x v="0"/>
    <n v="2"/>
    <n v="449"/>
    <n v="898"/>
    <n v="0"/>
    <n v="898"/>
    <s v="Completed"/>
    <n v="898"/>
    <n v="449"/>
    <x v="4"/>
    <n v="-449"/>
    <n v="0.5"/>
    <n v="449"/>
    <s v="Small"/>
    <s v="High"/>
  </r>
  <r>
    <s v="ORD-0353"/>
    <s v="2026-05-30"/>
    <x v="4"/>
    <x v="3"/>
    <x v="20"/>
    <x v="0"/>
    <n v="18"/>
    <n v="169"/>
    <n v="3042"/>
    <n v="0"/>
    <n v="3042"/>
    <s v="Pending"/>
    <n v="3042"/>
    <n v="2873"/>
    <x v="4"/>
    <n v="-2873"/>
    <n v="0.94444444444444442"/>
    <n v="169"/>
    <s v="Large"/>
    <s v="Low"/>
  </r>
  <r>
    <s v="ORD-0064"/>
    <s v="2026-06-02"/>
    <x v="7"/>
    <x v="2"/>
    <x v="10"/>
    <x v="1"/>
    <n v="22"/>
    <n v="249"/>
    <n v="5478"/>
    <n v="5"/>
    <n v="5204.0999999999995"/>
    <s v="Completed"/>
    <n v="5478"/>
    <n v="5229"/>
    <x v="5"/>
    <n v="-4955.0999999999995"/>
    <n v="1.0047846889952154"/>
    <n v="236.54999999999998"/>
    <s v="Large"/>
    <s v="High"/>
  </r>
  <r>
    <s v="ORD-0237"/>
    <s v="2026-06-02"/>
    <x v="6"/>
    <x v="3"/>
    <x v="24"/>
    <x v="0"/>
    <n v="10"/>
    <n v="39.99"/>
    <n v="399.90000000000003"/>
    <n v="12"/>
    <n v="351.91200000000003"/>
    <s v="Completed"/>
    <n v="399.90000000000003"/>
    <n v="359.91"/>
    <x v="5"/>
    <n v="-311.92200000000003"/>
    <n v="1.0227272727272727"/>
    <n v="35.191200000000002"/>
    <s v="Large"/>
    <s v="High"/>
  </r>
  <r>
    <s v="ORD-0423"/>
    <s v="2026-06-02"/>
    <x v="6"/>
    <x v="3"/>
    <x v="16"/>
    <x v="1"/>
    <n v="2"/>
    <n v="599"/>
    <n v="1198"/>
    <n v="15"/>
    <n v="1018.3"/>
    <s v="Completed"/>
    <n v="1198"/>
    <n v="599"/>
    <x v="5"/>
    <n v="-419.29999999999995"/>
    <n v="0.58823529411764708"/>
    <n v="509.15"/>
    <s v="Small"/>
    <s v="Low"/>
  </r>
  <r>
    <s v="ORD-0084"/>
    <s v="2026-06-04"/>
    <x v="8"/>
    <x v="3"/>
    <x v="18"/>
    <x v="3"/>
    <n v="29"/>
    <n v="99"/>
    <n v="2871"/>
    <n v="5"/>
    <n v="2727.45"/>
    <s v="Completed"/>
    <n v="2871"/>
    <n v="2772"/>
    <x v="5"/>
    <n v="-2628.45"/>
    <n v="1.0163339382940109"/>
    <n v="94.05"/>
    <s v="Large"/>
    <s v="High"/>
  </r>
  <r>
    <s v="ORD-0245"/>
    <s v="2026-06-04"/>
    <x v="6"/>
    <x v="3"/>
    <x v="11"/>
    <x v="2"/>
    <n v="12"/>
    <n v="49.99"/>
    <n v="599.88"/>
    <n v="0"/>
    <n v="599.88"/>
    <s v="Completed"/>
    <n v="599.88"/>
    <n v="549.89"/>
    <x v="5"/>
    <n v="-549.89"/>
    <n v="0.91666666666666663"/>
    <n v="49.99"/>
    <s v="Large"/>
    <s v="High"/>
  </r>
  <r>
    <s v="ORD-0276"/>
    <s v="2026-06-04"/>
    <x v="7"/>
    <x v="2"/>
    <x v="11"/>
    <x v="2"/>
    <n v="3"/>
    <n v="49.99"/>
    <n v="149.97"/>
    <n v="0"/>
    <n v="149.97"/>
    <s v="Completed"/>
    <n v="149.97"/>
    <n v="99.97999999999999"/>
    <x v="5"/>
    <n v="-99.97999999999999"/>
    <n v="0.66666666666666663"/>
    <n v="49.99"/>
    <s v="Small"/>
    <s v="Low"/>
  </r>
  <r>
    <s v="ORD-0314"/>
    <s v="2026-06-04"/>
    <x v="8"/>
    <x v="3"/>
    <x v="24"/>
    <x v="0"/>
    <n v="12"/>
    <n v="39.99"/>
    <n v="479.88"/>
    <n v="0"/>
    <n v="479.88"/>
    <s v="Completed"/>
    <n v="479.88"/>
    <n v="439.89"/>
    <x v="5"/>
    <n v="-439.89"/>
    <n v="0.91666666666666663"/>
    <n v="39.99"/>
    <s v="Large"/>
    <s v="Low"/>
  </r>
  <r>
    <s v="ORD-0288"/>
    <s v="2026-06-05"/>
    <x v="2"/>
    <x v="1"/>
    <x v="5"/>
    <x v="1"/>
    <n v="21"/>
    <n v="399"/>
    <n v="8379"/>
    <n v="10"/>
    <n v="7541.1"/>
    <s v="Completed"/>
    <n v="8379"/>
    <n v="7980"/>
    <x v="5"/>
    <n v="-7142.1"/>
    <n v="1.0582010582010581"/>
    <n v="359.1"/>
    <s v="Large"/>
    <s v="Low"/>
  </r>
  <r>
    <s v="ORD-0493"/>
    <s v="2026-06-09"/>
    <x v="0"/>
    <x v="0"/>
    <x v="9"/>
    <x v="0"/>
    <n v="15"/>
    <n v="549"/>
    <n v="8235"/>
    <n v="15"/>
    <n v="6999.75"/>
    <s v="Completed"/>
    <n v="8235"/>
    <n v="7686"/>
    <x v="5"/>
    <n v="-6450.75"/>
    <n v="1.0980392156862746"/>
    <n v="466.65"/>
    <s v="Large"/>
    <s v="High"/>
  </r>
  <r>
    <s v="ORD-0458"/>
    <s v="2026-06-10"/>
    <x v="7"/>
    <x v="2"/>
    <x v="11"/>
    <x v="2"/>
    <n v="9"/>
    <n v="49.99"/>
    <n v="449.91"/>
    <n v="8"/>
    <n v="413.91720000000004"/>
    <s v="Completed"/>
    <n v="449.91"/>
    <n v="399.92"/>
    <x v="5"/>
    <n v="-363.92720000000003"/>
    <n v="0.96618357487922701"/>
    <n v="45.990800000000007"/>
    <s v="Small"/>
    <s v="High"/>
  </r>
  <r>
    <s v="ORD-0090"/>
    <s v="2026-06-12"/>
    <x v="0"/>
    <x v="0"/>
    <x v="12"/>
    <x v="3"/>
    <n v="3"/>
    <n v="149"/>
    <n v="447"/>
    <n v="5"/>
    <n v="424.65"/>
    <s v="Pending"/>
    <n v="447"/>
    <n v="298"/>
    <x v="5"/>
    <n v="-275.64999999999998"/>
    <n v="0.70175438596491235"/>
    <n v="141.54999999999998"/>
    <s v="Small"/>
    <s v="Low"/>
  </r>
  <r>
    <s v="ORD-0311"/>
    <s v="2026-06-12"/>
    <x v="5"/>
    <x v="0"/>
    <x v="20"/>
    <x v="0"/>
    <n v="18"/>
    <n v="169"/>
    <n v="3042"/>
    <n v="0"/>
    <n v="3042"/>
    <s v="Completed"/>
    <n v="3042"/>
    <n v="2873"/>
    <x v="5"/>
    <n v="-2873"/>
    <n v="0.94444444444444442"/>
    <n v="169"/>
    <s v="Large"/>
    <s v="Low"/>
  </r>
  <r>
    <s v="ORD-0321"/>
    <s v="2026-06-12"/>
    <x v="9"/>
    <x v="1"/>
    <x v="6"/>
    <x v="2"/>
    <n v="30"/>
    <n v="59.99"/>
    <n v="1799.7"/>
    <n v="5"/>
    <n v="1709.7149999999999"/>
    <s v="Completed"/>
    <n v="1799.7"/>
    <n v="1739.71"/>
    <x v="5"/>
    <n v="-1649.7249999999999"/>
    <n v="1.0175438596491229"/>
    <n v="56.990499999999997"/>
    <s v="Large"/>
    <s v="High"/>
  </r>
  <r>
    <m/>
    <m/>
    <x v="10"/>
    <x v="4"/>
    <x v="25"/>
    <x v="4"/>
    <n v="7637"/>
    <m/>
    <n v="1886331.149999999"/>
    <m/>
    <n v="1764806.5923000006"/>
    <m/>
    <m/>
    <m/>
    <x v="12"/>
    <m/>
    <m/>
    <m/>
    <m/>
    <m/>
  </r>
  <r>
    <m/>
    <m/>
    <x v="10"/>
    <x v="4"/>
    <x v="25"/>
    <x v="5"/>
    <m/>
    <m/>
    <m/>
    <m/>
    <m/>
    <m/>
    <m/>
    <m/>
    <x v="1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7CC24-780A-43CF-AB94-5704A1661B3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20">
    <pivotField showAll="0"/>
    <pivotField showAll="0"/>
    <pivotField showAll="0"/>
    <pivotField axis="axisRow" showAll="0" sortType="descending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 " fld="12" baseField="0" baseItem="0"/>
    <dataField name="Sum of Profi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0F5DD-69AA-484F-B5BB-2DEB56C2A47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0" firstHeaderRow="0" firstDataRow="1" firstDataCol="1"/>
  <pivotFields count="20">
    <pivotField showAll="0"/>
    <pivotField showAll="0"/>
    <pivotField showAll="0"/>
    <pivotField showAll="0"/>
    <pivotField axis="axisRow" showAll="0">
      <items count="27">
        <item x="13"/>
        <item x="19"/>
        <item x="3"/>
        <item x="18"/>
        <item x="14"/>
        <item x="24"/>
        <item x="4"/>
        <item x="20"/>
        <item x="1"/>
        <item x="8"/>
        <item x="6"/>
        <item x="17"/>
        <item x="5"/>
        <item x="16"/>
        <item x="21"/>
        <item x="10"/>
        <item x="23"/>
        <item x="12"/>
        <item x="9"/>
        <item x="11"/>
        <item x="7"/>
        <item x="15"/>
        <item x="22"/>
        <item x="0"/>
        <item x="2"/>
        <item x="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 ($)" fld="7" baseField="0" baseItem="0"/>
    <dataField name="Sum of Total Sales " fld="12" baseField="0" baseItem="0"/>
    <dataField name="Sum of Profit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3A621-B269-4B44-92F6-0E89A8B4850C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0" firstHeaderRow="1" firstDataRow="2" firstDataCol="1"/>
  <pivotFields count="20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axis="axisCol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 " fld="1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D432A-80FF-4A5F-8B02-E7424B127F47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 Amount" fld="15" subtotal="average" baseField="5" baseItem="0"/>
    <dataField name="Sum of Net Revenue ($)" fld="10" baseField="0" baseItem="0"/>
    <dataField name="Sum of Discount Amount" fld="1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447CD-2A9B-4D92-8DC1-5D74CA94CB51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fit Margin%" fld="16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0F3F4-8961-4619-98CF-36F3839465F3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5" firstHeaderRow="0" firstDataRow="1" firstDataCol="1"/>
  <pivotFields count="20">
    <pivotField showAll="0"/>
    <pivotField showAll="0"/>
    <pivotField axis="axisRow" showAll="0">
      <items count="12">
        <item x="9"/>
        <item x="8"/>
        <item x="0"/>
        <item x="3"/>
        <item x="4"/>
        <item x="7"/>
        <item x="1"/>
        <item x="5"/>
        <item x="2"/>
        <item x="6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$)" fld="8" baseField="0" baseItem="0"/>
    <dataField name="Sum of Profi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2DACE-7D8E-462B-8A71-A4D261FEC069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 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31EC9-5944-4C3A-A138-A41283A5860A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($)" fld="8" baseField="0" baseItem="0"/>
    <dataField name="Sum of Net Revenue ($)" fld="10" baseField="0" baseItem="0"/>
    <dataField name="Sum of Profit" fld="1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7427-2845-4462-AEE6-2C63D768A5A2}">
  <dimension ref="A3:C9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2.109375" bestFit="1" customWidth="1"/>
  </cols>
  <sheetData>
    <row r="3" spans="1:3" x14ac:dyDescent="0.3">
      <c r="A3" s="34" t="s">
        <v>904</v>
      </c>
      <c r="B3" t="s">
        <v>913</v>
      </c>
      <c r="C3" t="s">
        <v>906</v>
      </c>
    </row>
    <row r="4" spans="1:3" x14ac:dyDescent="0.3">
      <c r="A4" s="35" t="s">
        <v>912</v>
      </c>
      <c r="B4" s="36"/>
      <c r="C4" s="36"/>
    </row>
    <row r="5" spans="1:3" x14ac:dyDescent="0.3">
      <c r="A5" s="35" t="s">
        <v>33</v>
      </c>
      <c r="B5" s="36">
        <v>359520.37999999983</v>
      </c>
      <c r="C5" s="36">
        <v>331831.92999999993</v>
      </c>
    </row>
    <row r="6" spans="1:3" x14ac:dyDescent="0.3">
      <c r="A6" s="35" t="s">
        <v>38</v>
      </c>
      <c r="B6" s="36">
        <v>485969.60000000021</v>
      </c>
      <c r="C6" s="36">
        <v>453490.29000000015</v>
      </c>
    </row>
    <row r="7" spans="1:3" x14ac:dyDescent="0.3">
      <c r="A7" s="35" t="s">
        <v>22</v>
      </c>
      <c r="B7" s="36">
        <v>623245.32999999961</v>
      </c>
      <c r="C7" s="36">
        <v>580978.06999999995</v>
      </c>
    </row>
    <row r="8" spans="1:3" x14ac:dyDescent="0.3">
      <c r="A8" s="35" t="s">
        <v>15</v>
      </c>
      <c r="B8" s="36">
        <v>417595.84000000008</v>
      </c>
      <c r="C8" s="36">
        <v>389717.22000000009</v>
      </c>
    </row>
    <row r="9" spans="1:3" x14ac:dyDescent="0.3">
      <c r="A9" s="35" t="s">
        <v>905</v>
      </c>
      <c r="B9" s="36">
        <v>1886331.1499999997</v>
      </c>
      <c r="C9" s="36">
        <v>1756017.5100000002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C641-C665-49F3-840A-4E3E9C79452A}">
  <dimension ref="A3:D30"/>
  <sheetViews>
    <sheetView topLeftCell="A7" workbookViewId="0">
      <selection activeCell="K21" sqref="K21"/>
    </sheetView>
  </sheetViews>
  <sheetFormatPr defaultRowHeight="14.4" x14ac:dyDescent="0.3"/>
  <cols>
    <col min="1" max="1" width="25.21875" bestFit="1" customWidth="1"/>
    <col min="2" max="2" width="18.5546875" bestFit="1" customWidth="1"/>
    <col min="3" max="3" width="16.88671875" bestFit="1" customWidth="1"/>
    <col min="4" max="4" width="12.109375" bestFit="1" customWidth="1"/>
  </cols>
  <sheetData>
    <row r="3" spans="1:4" x14ac:dyDescent="0.3">
      <c r="A3" s="34" t="s">
        <v>904</v>
      </c>
      <c r="B3" t="s">
        <v>914</v>
      </c>
      <c r="C3" t="s">
        <v>913</v>
      </c>
      <c r="D3" t="s">
        <v>906</v>
      </c>
    </row>
    <row r="4" spans="1:4" x14ac:dyDescent="0.3">
      <c r="A4" s="35" t="s">
        <v>82</v>
      </c>
      <c r="B4" s="36">
        <v>1079.82</v>
      </c>
      <c r="C4" s="36">
        <v>16257.289999999999</v>
      </c>
      <c r="D4" s="36">
        <v>15177.469999999996</v>
      </c>
    </row>
    <row r="5" spans="1:4" x14ac:dyDescent="0.3">
      <c r="A5" s="35" t="s">
        <v>106</v>
      </c>
      <c r="B5" s="36">
        <v>2985</v>
      </c>
      <c r="C5" s="36">
        <v>37810</v>
      </c>
      <c r="D5" s="36">
        <v>34825</v>
      </c>
    </row>
    <row r="6" spans="1:4" x14ac:dyDescent="0.3">
      <c r="A6" s="35" t="s">
        <v>34</v>
      </c>
      <c r="B6" s="36">
        <v>279.86</v>
      </c>
      <c r="C6" s="36">
        <v>4677.6599999999989</v>
      </c>
      <c r="D6" s="36">
        <v>4397.8</v>
      </c>
    </row>
    <row r="7" spans="1:4" x14ac:dyDescent="0.3">
      <c r="A7" s="35" t="s">
        <v>103</v>
      </c>
      <c r="B7" s="36">
        <v>2178</v>
      </c>
      <c r="C7" s="36">
        <v>37620</v>
      </c>
      <c r="D7" s="36">
        <v>35442</v>
      </c>
    </row>
    <row r="8" spans="1:4" x14ac:dyDescent="0.3">
      <c r="A8" s="35" t="s">
        <v>87</v>
      </c>
      <c r="B8" s="36">
        <v>5681</v>
      </c>
      <c r="C8" s="36">
        <v>93886</v>
      </c>
      <c r="D8" s="36">
        <v>88205</v>
      </c>
    </row>
    <row r="9" spans="1:4" x14ac:dyDescent="0.3">
      <c r="A9" s="35" t="s">
        <v>188</v>
      </c>
      <c r="B9" s="36">
        <v>599.85</v>
      </c>
      <c r="C9" s="36">
        <v>8757.81</v>
      </c>
      <c r="D9" s="36">
        <v>8157.96</v>
      </c>
    </row>
    <row r="10" spans="1:4" x14ac:dyDescent="0.3">
      <c r="A10" s="35" t="s">
        <v>39</v>
      </c>
      <c r="B10" s="36">
        <v>5382</v>
      </c>
      <c r="C10" s="36">
        <v>81029</v>
      </c>
      <c r="D10" s="36">
        <v>75647</v>
      </c>
    </row>
    <row r="11" spans="1:4" x14ac:dyDescent="0.3">
      <c r="A11" s="35" t="s">
        <v>141</v>
      </c>
      <c r="B11" s="36">
        <v>3380</v>
      </c>
      <c r="C11" s="36">
        <v>54756</v>
      </c>
      <c r="D11" s="36">
        <v>51376</v>
      </c>
    </row>
    <row r="12" spans="1:4" x14ac:dyDescent="0.3">
      <c r="A12" s="35" t="s">
        <v>23</v>
      </c>
      <c r="B12" s="36">
        <v>23976</v>
      </c>
      <c r="C12" s="36">
        <v>308691</v>
      </c>
      <c r="D12" s="36">
        <v>284715</v>
      </c>
    </row>
    <row r="13" spans="1:4" x14ac:dyDescent="0.3">
      <c r="A13" s="35" t="s">
        <v>64</v>
      </c>
      <c r="B13" s="36">
        <v>23382</v>
      </c>
      <c r="C13" s="36">
        <v>311760</v>
      </c>
      <c r="D13" s="36">
        <v>288378</v>
      </c>
    </row>
    <row r="14" spans="1:4" x14ac:dyDescent="0.3">
      <c r="A14" s="35" t="s">
        <v>46</v>
      </c>
      <c r="B14" s="36">
        <v>1259.79</v>
      </c>
      <c r="C14" s="36">
        <v>19796.7</v>
      </c>
      <c r="D14" s="36">
        <v>18536.91</v>
      </c>
    </row>
    <row r="15" spans="1:4" x14ac:dyDescent="0.3">
      <c r="A15" s="35" t="s">
        <v>99</v>
      </c>
      <c r="B15" s="36">
        <v>2069.77</v>
      </c>
      <c r="C15" s="36">
        <v>35906.01</v>
      </c>
      <c r="D15" s="36">
        <v>33836.240000000005</v>
      </c>
    </row>
    <row r="16" spans="1:4" x14ac:dyDescent="0.3">
      <c r="A16" s="35" t="s">
        <v>43</v>
      </c>
      <c r="B16" s="36">
        <v>9576</v>
      </c>
      <c r="C16" s="36">
        <v>169974</v>
      </c>
      <c r="D16" s="36">
        <v>160398</v>
      </c>
    </row>
    <row r="17" spans="1:4" x14ac:dyDescent="0.3">
      <c r="A17" s="35" t="s">
        <v>93</v>
      </c>
      <c r="B17" s="36">
        <v>13178</v>
      </c>
      <c r="C17" s="36">
        <v>164126</v>
      </c>
      <c r="D17" s="36">
        <v>150948</v>
      </c>
    </row>
    <row r="18" spans="1:4" x14ac:dyDescent="0.3">
      <c r="A18" s="35" t="s">
        <v>144</v>
      </c>
      <c r="B18" s="36">
        <v>1759.78</v>
      </c>
      <c r="C18" s="36">
        <v>27676.54</v>
      </c>
      <c r="D18" s="36">
        <v>25916.76</v>
      </c>
    </row>
    <row r="19" spans="1:4" x14ac:dyDescent="0.3">
      <c r="A19" s="35" t="s">
        <v>71</v>
      </c>
      <c r="B19" s="36">
        <v>4233</v>
      </c>
      <c r="C19" s="36">
        <v>75696</v>
      </c>
      <c r="D19" s="36">
        <v>71463</v>
      </c>
    </row>
    <row r="20" spans="1:4" x14ac:dyDescent="0.3">
      <c r="A20" s="35" t="s">
        <v>157</v>
      </c>
      <c r="B20" s="36">
        <v>3592</v>
      </c>
      <c r="C20" s="36">
        <v>51635</v>
      </c>
      <c r="D20" s="36">
        <v>48043</v>
      </c>
    </row>
    <row r="21" spans="1:4" x14ac:dyDescent="0.3">
      <c r="A21" s="35" t="s">
        <v>77</v>
      </c>
      <c r="B21" s="36">
        <v>2533</v>
      </c>
      <c r="C21" s="36">
        <v>38591</v>
      </c>
      <c r="D21" s="36">
        <v>36058</v>
      </c>
    </row>
    <row r="22" spans="1:4" x14ac:dyDescent="0.3">
      <c r="A22" s="35" t="s">
        <v>66</v>
      </c>
      <c r="B22" s="36">
        <v>12627</v>
      </c>
      <c r="C22" s="36">
        <v>194895</v>
      </c>
      <c r="D22" s="36">
        <v>182268</v>
      </c>
    </row>
    <row r="23" spans="1:4" x14ac:dyDescent="0.3">
      <c r="A23" s="35" t="s">
        <v>74</v>
      </c>
      <c r="B23" s="36">
        <v>1249.75</v>
      </c>
      <c r="C23" s="36">
        <v>20345.930000000004</v>
      </c>
      <c r="D23" s="36">
        <v>19096.18</v>
      </c>
    </row>
    <row r="24" spans="1:4" x14ac:dyDescent="0.3">
      <c r="A24" s="35" t="s">
        <v>60</v>
      </c>
      <c r="B24" s="36">
        <v>1049.79</v>
      </c>
      <c r="C24" s="36">
        <v>15046.989999999996</v>
      </c>
      <c r="D24" s="36">
        <v>13997.199999999999</v>
      </c>
    </row>
    <row r="25" spans="1:4" x14ac:dyDescent="0.3">
      <c r="A25" s="35" t="s">
        <v>90</v>
      </c>
      <c r="B25" s="36">
        <v>3449.7699999999986</v>
      </c>
      <c r="C25" s="36">
        <v>53096.460000000006</v>
      </c>
      <c r="D25" s="36">
        <v>49646.69</v>
      </c>
    </row>
    <row r="26" spans="1:4" x14ac:dyDescent="0.3">
      <c r="A26" s="35" t="s">
        <v>147</v>
      </c>
      <c r="B26" s="36">
        <v>1599.8</v>
      </c>
      <c r="C26" s="36">
        <v>23917.009999999991</v>
      </c>
      <c r="D26" s="36">
        <v>22317.21</v>
      </c>
    </row>
    <row r="27" spans="1:4" x14ac:dyDescent="0.3">
      <c r="A27" s="35" t="s">
        <v>16</v>
      </c>
      <c r="B27" s="36">
        <v>2193</v>
      </c>
      <c r="C27" s="36">
        <v>24639</v>
      </c>
      <c r="D27" s="36">
        <v>22446</v>
      </c>
    </row>
    <row r="28" spans="1:4" x14ac:dyDescent="0.3">
      <c r="A28" s="35" t="s">
        <v>29</v>
      </c>
      <c r="B28" s="36">
        <v>1019.6600000000002</v>
      </c>
      <c r="C28" s="36">
        <v>15744.75</v>
      </c>
      <c r="D28" s="36">
        <v>14725.090000000002</v>
      </c>
    </row>
    <row r="29" spans="1:4" x14ac:dyDescent="0.3">
      <c r="A29" s="35" t="s">
        <v>912</v>
      </c>
      <c r="B29" s="36"/>
      <c r="C29" s="36"/>
      <c r="D29" s="36"/>
    </row>
    <row r="30" spans="1:4" x14ac:dyDescent="0.3">
      <c r="A30" s="35" t="s">
        <v>905</v>
      </c>
      <c r="B30" s="36">
        <v>130313.64</v>
      </c>
      <c r="C30" s="36">
        <v>1886331.15</v>
      </c>
      <c r="D30" s="36">
        <v>1756017.5099999998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ACA7-875A-41E9-A98F-E6299A05A0D6}">
  <dimension ref="A1:X9"/>
  <sheetViews>
    <sheetView showGridLines="0" tabSelected="1" workbookViewId="0">
      <selection activeCell="F6" sqref="F6"/>
    </sheetView>
  </sheetViews>
  <sheetFormatPr defaultRowHeight="14.4" x14ac:dyDescent="0.3"/>
  <cols>
    <col min="11" max="11" width="8.88671875" customWidth="1"/>
    <col min="12" max="12" width="10.21875" customWidth="1"/>
  </cols>
  <sheetData>
    <row r="1" spans="1:24" ht="31.2" x14ac:dyDescent="0.6">
      <c r="A1" s="39" t="s">
        <v>932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3" spans="1:24" x14ac:dyDescent="0.3">
      <c r="I3" t="s">
        <v>933</v>
      </c>
      <c r="M3" t="s">
        <v>934</v>
      </c>
      <c r="Q3" t="s">
        <v>935</v>
      </c>
    </row>
    <row r="6" spans="1:24" x14ac:dyDescent="0.3">
      <c r="F6" t="s">
        <v>936</v>
      </c>
    </row>
    <row r="9" spans="1:24" x14ac:dyDescent="0.3">
      <c r="K9" s="38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F511-97B0-4D78-9F92-8B20B5C6B75F}">
  <dimension ref="A3:H10"/>
  <sheetViews>
    <sheetView workbookViewId="0">
      <selection activeCell="J19" sqref="J19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11" bestFit="1" customWidth="1"/>
    <col min="4" max="5" width="10" bestFit="1" customWidth="1"/>
    <col min="6" max="6" width="7.44140625" bestFit="1" customWidth="1"/>
    <col min="7" max="7" width="7" bestFit="1" customWidth="1"/>
    <col min="8" max="8" width="11" bestFit="1" customWidth="1"/>
  </cols>
  <sheetData>
    <row r="3" spans="1:8" x14ac:dyDescent="0.3">
      <c r="A3" s="34" t="s">
        <v>913</v>
      </c>
      <c r="B3" s="34" t="s">
        <v>915</v>
      </c>
    </row>
    <row r="4" spans="1:8" x14ac:dyDescent="0.3">
      <c r="A4" s="34" t="s">
        <v>904</v>
      </c>
      <c r="B4" t="s">
        <v>30</v>
      </c>
      <c r="C4" t="s">
        <v>24</v>
      </c>
      <c r="D4" t="s">
        <v>17</v>
      </c>
      <c r="E4" t="s">
        <v>61</v>
      </c>
      <c r="F4" t="s">
        <v>874</v>
      </c>
      <c r="G4" t="s">
        <v>912</v>
      </c>
      <c r="H4" t="s">
        <v>905</v>
      </c>
    </row>
    <row r="5" spans="1:8" x14ac:dyDescent="0.3">
      <c r="A5" s="35" t="s">
        <v>15</v>
      </c>
      <c r="B5" s="36">
        <v>19696.46</v>
      </c>
      <c r="C5" s="36">
        <v>251926.57000000004</v>
      </c>
      <c r="D5" s="36">
        <v>101491.45</v>
      </c>
      <c r="E5" s="36">
        <v>44481.36</v>
      </c>
      <c r="F5" s="36"/>
      <c r="G5" s="36"/>
      <c r="H5" s="36">
        <v>417595.84</v>
      </c>
    </row>
    <row r="6" spans="1:8" x14ac:dyDescent="0.3">
      <c r="A6" s="35" t="s">
        <v>22</v>
      </c>
      <c r="B6" s="36">
        <v>48171.700000000012</v>
      </c>
      <c r="C6" s="36">
        <v>349477.50999999995</v>
      </c>
      <c r="D6" s="36">
        <v>159406.49</v>
      </c>
      <c r="E6" s="36">
        <v>66189.63</v>
      </c>
      <c r="F6" s="36"/>
      <c r="G6" s="36"/>
      <c r="H6" s="36">
        <v>623245.32999999996</v>
      </c>
    </row>
    <row r="7" spans="1:8" x14ac:dyDescent="0.3">
      <c r="A7" s="35" t="s">
        <v>38</v>
      </c>
      <c r="B7" s="36">
        <v>34213.629999999997</v>
      </c>
      <c r="C7" s="36">
        <v>275212.08</v>
      </c>
      <c r="D7" s="36">
        <v>112713.33</v>
      </c>
      <c r="E7" s="36">
        <v>63830.560000000005</v>
      </c>
      <c r="F7" s="36"/>
      <c r="G7" s="36"/>
      <c r="H7" s="36">
        <v>485969.60000000003</v>
      </c>
    </row>
    <row r="8" spans="1:8" x14ac:dyDescent="0.3">
      <c r="A8" s="35" t="s">
        <v>33</v>
      </c>
      <c r="B8" s="36">
        <v>22065.8</v>
      </c>
      <c r="C8" s="36">
        <v>230644.31000000003</v>
      </c>
      <c r="D8" s="36">
        <v>79910.539999999994</v>
      </c>
      <c r="E8" s="36">
        <v>26899.73</v>
      </c>
      <c r="F8" s="36"/>
      <c r="G8" s="36"/>
      <c r="H8" s="36">
        <v>359520.38</v>
      </c>
    </row>
    <row r="9" spans="1:8" x14ac:dyDescent="0.3">
      <c r="A9" s="35" t="s">
        <v>912</v>
      </c>
      <c r="B9" s="36"/>
      <c r="C9" s="36"/>
      <c r="D9" s="36"/>
      <c r="E9" s="36"/>
      <c r="F9" s="36"/>
      <c r="G9" s="36"/>
      <c r="H9" s="36"/>
    </row>
    <row r="10" spans="1:8" x14ac:dyDescent="0.3">
      <c r="A10" s="35" t="s">
        <v>905</v>
      </c>
      <c r="B10" s="36">
        <v>124147.59000000001</v>
      </c>
      <c r="C10" s="36">
        <v>1107260.47</v>
      </c>
      <c r="D10" s="36">
        <v>453521.81</v>
      </c>
      <c r="E10" s="36">
        <v>201401.28000000003</v>
      </c>
      <c r="F10" s="36"/>
      <c r="G10" s="36"/>
      <c r="H10" s="36">
        <v>1886331.15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3DF6-81C0-47F4-8B9A-DF83E8A12119}">
  <dimension ref="A3:D10"/>
  <sheetViews>
    <sheetView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25.6640625" bestFit="1" customWidth="1"/>
    <col min="3" max="3" width="21.33203125" bestFit="1" customWidth="1"/>
    <col min="4" max="4" width="22.44140625" bestFit="1" customWidth="1"/>
  </cols>
  <sheetData>
    <row r="3" spans="1:4" x14ac:dyDescent="0.3">
      <c r="A3" s="34" t="s">
        <v>904</v>
      </c>
      <c r="B3" t="s">
        <v>918</v>
      </c>
      <c r="C3" t="s">
        <v>917</v>
      </c>
      <c r="D3" t="s">
        <v>916</v>
      </c>
    </row>
    <row r="4" spans="1:4" x14ac:dyDescent="0.3">
      <c r="A4" s="35" t="s">
        <v>30</v>
      </c>
      <c r="B4" s="36">
        <v>-784.01587194244632</v>
      </c>
      <c r="C4" s="36">
        <v>116616.81619999993</v>
      </c>
      <c r="D4" s="36">
        <v>-108978.20620000004</v>
      </c>
    </row>
    <row r="5" spans="1:4" x14ac:dyDescent="0.3">
      <c r="A5" s="35" t="s">
        <v>24</v>
      </c>
      <c r="B5" s="36">
        <v>-6461.4917716216232</v>
      </c>
      <c r="C5" s="36">
        <v>1035695.3522000002</v>
      </c>
      <c r="D5" s="36">
        <v>-956300.78220000025</v>
      </c>
    </row>
    <row r="6" spans="1:4" x14ac:dyDescent="0.3">
      <c r="A6" s="35" t="s">
        <v>17</v>
      </c>
      <c r="B6" s="36">
        <v>-3389.3635336206903</v>
      </c>
      <c r="C6" s="36">
        <v>423925.01990000013</v>
      </c>
      <c r="D6" s="36">
        <v>-393166.1699000001</v>
      </c>
    </row>
    <row r="7" spans="1:4" x14ac:dyDescent="0.3">
      <c r="A7" s="35" t="s">
        <v>61</v>
      </c>
      <c r="B7" s="36">
        <v>-1814.9257113402068</v>
      </c>
      <c r="C7" s="36">
        <v>188569.40400000001</v>
      </c>
      <c r="D7" s="36">
        <v>-176047.79400000005</v>
      </c>
    </row>
    <row r="8" spans="1:4" x14ac:dyDescent="0.3">
      <c r="A8" s="35" t="s">
        <v>874</v>
      </c>
      <c r="B8" s="36"/>
      <c r="C8" s="36">
        <v>1764806.5923000006</v>
      </c>
      <c r="D8" s="36"/>
    </row>
    <row r="9" spans="1:4" x14ac:dyDescent="0.3">
      <c r="A9" s="35" t="s">
        <v>912</v>
      </c>
      <c r="B9" s="36"/>
      <c r="C9" s="36"/>
      <c r="D9" s="36"/>
    </row>
    <row r="10" spans="1:4" x14ac:dyDescent="0.3">
      <c r="A10" s="35" t="s">
        <v>905</v>
      </c>
      <c r="B10" s="36">
        <v>-3268.985904600002</v>
      </c>
      <c r="C10" s="36">
        <v>3529613.1846000017</v>
      </c>
      <c r="D10" s="36">
        <v>-1634492.9523000009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F3DF-FF44-420B-831E-319CAE5B10D2}">
  <dimension ref="A3:B10"/>
  <sheetViews>
    <sheetView workbookViewId="0">
      <selection activeCell="H20" sqref="H20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34" t="s">
        <v>904</v>
      </c>
      <c r="B3" t="s">
        <v>919</v>
      </c>
    </row>
    <row r="4" spans="1:2" x14ac:dyDescent="0.3">
      <c r="A4" s="35" t="s">
        <v>30</v>
      </c>
      <c r="B4" s="36">
        <v>0.94503866310070261</v>
      </c>
    </row>
    <row r="5" spans="1:2" x14ac:dyDescent="0.3">
      <c r="A5" s="35" t="s">
        <v>24</v>
      </c>
      <c r="B5" s="36">
        <v>0.9205690530608035</v>
      </c>
    </row>
    <row r="6" spans="1:2" x14ac:dyDescent="0.3">
      <c r="A6" s="35" t="s">
        <v>17</v>
      </c>
      <c r="B6" s="36">
        <v>0.91430775742341897</v>
      </c>
    </row>
    <row r="7" spans="1:2" x14ac:dyDescent="0.3">
      <c r="A7" s="35" t="s">
        <v>61</v>
      </c>
      <c r="B7" s="36">
        <v>0.91442625056970117</v>
      </c>
    </row>
    <row r="8" spans="1:2" x14ac:dyDescent="0.3">
      <c r="A8" s="35" t="s">
        <v>874</v>
      </c>
      <c r="B8" s="36"/>
    </row>
    <row r="9" spans="1:2" x14ac:dyDescent="0.3">
      <c r="A9" s="35" t="s">
        <v>912</v>
      </c>
      <c r="B9" s="36"/>
    </row>
    <row r="10" spans="1:2" x14ac:dyDescent="0.3">
      <c r="A10" s="35" t="s">
        <v>905</v>
      </c>
      <c r="B10" s="36">
        <v>0.92472728038074792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B353-D1CF-4FDE-921E-D8CF6787F0AE}">
  <dimension ref="A3:C15"/>
  <sheetViews>
    <sheetView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12.109375" bestFit="1" customWidth="1"/>
  </cols>
  <sheetData>
    <row r="3" spans="1:3" x14ac:dyDescent="0.3">
      <c r="A3" s="34" t="s">
        <v>904</v>
      </c>
      <c r="B3" t="s">
        <v>920</v>
      </c>
      <c r="C3" t="s">
        <v>906</v>
      </c>
    </row>
    <row r="4" spans="1:3" x14ac:dyDescent="0.3">
      <c r="A4" s="35" t="s">
        <v>80</v>
      </c>
      <c r="B4" s="36">
        <v>116662.99</v>
      </c>
      <c r="C4" s="36">
        <v>108104.18000000001</v>
      </c>
    </row>
    <row r="5" spans="1:3" x14ac:dyDescent="0.3">
      <c r="A5" s="35" t="s">
        <v>55</v>
      </c>
      <c r="B5" s="36">
        <v>209940.38000000003</v>
      </c>
      <c r="C5" s="36">
        <v>197132.60000000003</v>
      </c>
    </row>
    <row r="6" spans="1:3" x14ac:dyDescent="0.3">
      <c r="A6" s="35" t="s">
        <v>14</v>
      </c>
      <c r="B6" s="36">
        <v>175764.58000000002</v>
      </c>
      <c r="C6" s="36">
        <v>161975.72999999998</v>
      </c>
    </row>
    <row r="7" spans="1:3" x14ac:dyDescent="0.3">
      <c r="A7" s="35" t="s">
        <v>32</v>
      </c>
      <c r="B7" s="36">
        <v>133266.85000000003</v>
      </c>
      <c r="C7" s="36">
        <v>123548.12999999998</v>
      </c>
    </row>
    <row r="8" spans="1:3" x14ac:dyDescent="0.3">
      <c r="A8" s="35" t="s">
        <v>37</v>
      </c>
      <c r="B8" s="36">
        <v>145432.34</v>
      </c>
      <c r="C8" s="36">
        <v>134698.59</v>
      </c>
    </row>
    <row r="9" spans="1:3" x14ac:dyDescent="0.3">
      <c r="A9" s="35" t="s">
        <v>52</v>
      </c>
      <c r="B9" s="36">
        <v>226253.53000000006</v>
      </c>
      <c r="C9" s="36">
        <v>208283.8</v>
      </c>
    </row>
    <row r="10" spans="1:3" x14ac:dyDescent="0.3">
      <c r="A10" s="35" t="s">
        <v>21</v>
      </c>
      <c r="B10" s="36">
        <v>195846.64</v>
      </c>
      <c r="C10" s="36">
        <v>181104.91</v>
      </c>
    </row>
    <row r="11" spans="1:3" x14ac:dyDescent="0.3">
      <c r="A11" s="35" t="s">
        <v>41</v>
      </c>
      <c r="B11" s="36">
        <v>241831.26000000004</v>
      </c>
      <c r="C11" s="36">
        <v>227741.48999999996</v>
      </c>
    </row>
    <row r="12" spans="1:3" x14ac:dyDescent="0.3">
      <c r="A12" s="35" t="s">
        <v>28</v>
      </c>
      <c r="B12" s="36">
        <v>310735.69999999995</v>
      </c>
      <c r="C12" s="36">
        <v>291768.98</v>
      </c>
    </row>
    <row r="13" spans="1:3" x14ac:dyDescent="0.3">
      <c r="A13" s="35" t="s">
        <v>49</v>
      </c>
      <c r="B13" s="36">
        <v>130596.87999999999</v>
      </c>
      <c r="C13" s="36">
        <v>121659.09999999998</v>
      </c>
    </row>
    <row r="14" spans="1:3" x14ac:dyDescent="0.3">
      <c r="A14" s="35" t="s">
        <v>912</v>
      </c>
      <c r="B14" s="36">
        <v>1886331.149999999</v>
      </c>
      <c r="C14" s="36"/>
    </row>
    <row r="15" spans="1:3" x14ac:dyDescent="0.3">
      <c r="A15" s="35" t="s">
        <v>905</v>
      </c>
      <c r="B15" s="36">
        <v>3772662.2999999989</v>
      </c>
      <c r="C15" s="36">
        <v>1756017.5099999998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72-6728-4EED-9934-8B5ED23FA429}">
  <dimension ref="A3:B1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34" t="s">
        <v>904</v>
      </c>
      <c r="B3" t="s">
        <v>913</v>
      </c>
    </row>
    <row r="4" spans="1:2" x14ac:dyDescent="0.3">
      <c r="A4" s="35" t="s">
        <v>921</v>
      </c>
      <c r="B4" s="36">
        <v>214761.80999999997</v>
      </c>
    </row>
    <row r="5" spans="1:2" x14ac:dyDescent="0.3">
      <c r="A5" s="35" t="s">
        <v>922</v>
      </c>
      <c r="B5" s="36">
        <v>263934.02</v>
      </c>
    </row>
    <row r="6" spans="1:2" x14ac:dyDescent="0.3">
      <c r="A6" s="35" t="s">
        <v>923</v>
      </c>
      <c r="B6" s="36">
        <v>252722.37</v>
      </c>
    </row>
    <row r="7" spans="1:2" x14ac:dyDescent="0.3">
      <c r="A7" s="35" t="s">
        <v>907</v>
      </c>
      <c r="B7" s="36">
        <v>209834.32</v>
      </c>
    </row>
    <row r="8" spans="1:2" x14ac:dyDescent="0.3">
      <c r="A8" s="35" t="s">
        <v>924</v>
      </c>
      <c r="B8" s="36">
        <v>212708.48000000004</v>
      </c>
    </row>
    <row r="9" spans="1:2" x14ac:dyDescent="0.3">
      <c r="A9" s="35" t="s">
        <v>925</v>
      </c>
      <c r="B9" s="36">
        <v>103963.65</v>
      </c>
    </row>
    <row r="10" spans="1:2" x14ac:dyDescent="0.3">
      <c r="A10" s="35" t="s">
        <v>926</v>
      </c>
      <c r="B10" s="36">
        <v>89627.13</v>
      </c>
    </row>
    <row r="11" spans="1:2" x14ac:dyDescent="0.3">
      <c r="A11" s="35" t="s">
        <v>927</v>
      </c>
      <c r="B11" s="36">
        <v>104231.25000000001</v>
      </c>
    </row>
    <row r="12" spans="1:2" x14ac:dyDescent="0.3">
      <c r="A12" s="35" t="s">
        <v>928</v>
      </c>
      <c r="B12" s="36">
        <v>140666.32</v>
      </c>
    </row>
    <row r="13" spans="1:2" x14ac:dyDescent="0.3">
      <c r="A13" s="35" t="s">
        <v>929</v>
      </c>
      <c r="B13" s="36">
        <v>107272.20999999999</v>
      </c>
    </row>
    <row r="14" spans="1:2" x14ac:dyDescent="0.3">
      <c r="A14" s="35" t="s">
        <v>930</v>
      </c>
      <c r="B14" s="36">
        <v>108247.28</v>
      </c>
    </row>
    <row r="15" spans="1:2" x14ac:dyDescent="0.3">
      <c r="A15" s="35" t="s">
        <v>931</v>
      </c>
      <c r="B15" s="36">
        <v>78362.31</v>
      </c>
    </row>
    <row r="16" spans="1:2" x14ac:dyDescent="0.3">
      <c r="A16" s="35" t="s">
        <v>912</v>
      </c>
      <c r="B16" s="36"/>
    </row>
    <row r="17" spans="1:2" x14ac:dyDescent="0.3">
      <c r="A17" s="35" t="s">
        <v>905</v>
      </c>
      <c r="B17" s="36">
        <v>1886331.15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B07D-D0BB-4792-BBCE-D7FBDD7575C0}">
  <dimension ref="A3:D10"/>
  <sheetViews>
    <sheetView topLeftCell="C1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21.33203125" bestFit="1" customWidth="1"/>
    <col min="4" max="4" width="12.109375" bestFit="1" customWidth="1"/>
  </cols>
  <sheetData>
    <row r="3" spans="1:4" x14ac:dyDescent="0.3">
      <c r="A3" s="34" t="s">
        <v>904</v>
      </c>
      <c r="B3" t="s">
        <v>920</v>
      </c>
      <c r="C3" t="s">
        <v>917</v>
      </c>
      <c r="D3" t="s">
        <v>906</v>
      </c>
    </row>
    <row r="4" spans="1:4" x14ac:dyDescent="0.3">
      <c r="A4" s="35" t="s">
        <v>30</v>
      </c>
      <c r="B4" s="36">
        <v>124147.59000000007</v>
      </c>
      <c r="C4" s="36">
        <v>116616.81619999993</v>
      </c>
      <c r="D4" s="36">
        <v>116508.97999999994</v>
      </c>
    </row>
    <row r="5" spans="1:4" x14ac:dyDescent="0.3">
      <c r="A5" s="35" t="s">
        <v>24</v>
      </c>
      <c r="B5" s="36">
        <v>1107260.4699999997</v>
      </c>
      <c r="C5" s="36">
        <v>1035695.3522000002</v>
      </c>
      <c r="D5" s="36">
        <v>1027865.8999999998</v>
      </c>
    </row>
    <row r="6" spans="1:4" x14ac:dyDescent="0.3">
      <c r="A6" s="35" t="s">
        <v>17</v>
      </c>
      <c r="B6" s="36">
        <v>453521.81000000006</v>
      </c>
      <c r="C6" s="36">
        <v>423925.01990000013</v>
      </c>
      <c r="D6" s="36">
        <v>422762.96</v>
      </c>
    </row>
    <row r="7" spans="1:4" x14ac:dyDescent="0.3">
      <c r="A7" s="35" t="s">
        <v>61</v>
      </c>
      <c r="B7" s="36">
        <v>201401.27999999997</v>
      </c>
      <c r="C7" s="36">
        <v>188569.40400000001</v>
      </c>
      <c r="D7" s="36">
        <v>188879.67</v>
      </c>
    </row>
    <row r="8" spans="1:4" x14ac:dyDescent="0.3">
      <c r="A8" s="35" t="s">
        <v>874</v>
      </c>
      <c r="B8" s="36">
        <v>1886331.149999999</v>
      </c>
      <c r="C8" s="36">
        <v>1764806.5923000006</v>
      </c>
      <c r="D8" s="36"/>
    </row>
    <row r="9" spans="1:4" x14ac:dyDescent="0.3">
      <c r="A9" s="35" t="s">
        <v>912</v>
      </c>
      <c r="B9" s="36"/>
      <c r="C9" s="36"/>
      <c r="D9" s="36"/>
    </row>
    <row r="10" spans="1:4" x14ac:dyDescent="0.3">
      <c r="A10" s="35" t="s">
        <v>905</v>
      </c>
      <c r="B10" s="36">
        <v>3772662.2999999989</v>
      </c>
      <c r="C10" s="36">
        <v>3529613.1846000012</v>
      </c>
      <c r="D10" s="36">
        <v>1756017.5099999995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2"/>
  <sheetViews>
    <sheetView zoomScale="95" zoomScaleNormal="100" workbookViewId="0">
      <pane ySplit="1" topLeftCell="A153" activePane="bottomLeft" state="frozen"/>
      <selection pane="bottomLeft" activeCell="S497" sqref="A1:XFD1048576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6" customWidth="1"/>
    <col min="4" max="4" width="10" customWidth="1"/>
    <col min="5" max="5" width="28" customWidth="1"/>
    <col min="6" max="6" width="14" customWidth="1"/>
    <col min="7" max="7" width="8" customWidth="1"/>
    <col min="8" max="9" width="14" customWidth="1"/>
    <col min="10" max="10" width="13" customWidth="1"/>
    <col min="11" max="11" width="15" customWidth="1"/>
    <col min="12" max="20" width="11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0" t="s">
        <v>901</v>
      </c>
      <c r="N1" s="30" t="s">
        <v>902</v>
      </c>
      <c r="O1" s="30" t="s">
        <v>880</v>
      </c>
      <c r="P1" s="30" t="s">
        <v>903</v>
      </c>
      <c r="Q1" s="30" t="s">
        <v>908</v>
      </c>
      <c r="R1" s="30" t="s">
        <v>909</v>
      </c>
      <c r="S1" s="30" t="s">
        <v>910</v>
      </c>
      <c r="T1" s="30" t="s">
        <v>911</v>
      </c>
    </row>
    <row r="2" spans="1:20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25</v>
      </c>
      <c r="H2" s="3">
        <v>129</v>
      </c>
      <c r="I2" s="3">
        <f t="shared" ref="I2:I65" si="0">H2*G2</f>
        <v>3225</v>
      </c>
      <c r="J2" s="4">
        <v>15</v>
      </c>
      <c r="K2" s="3">
        <f t="shared" ref="K2:K65" si="1">I2*(1-J2/100)</f>
        <v>2741.25</v>
      </c>
      <c r="L2" s="2" t="s">
        <v>18</v>
      </c>
      <c r="M2" s="31">
        <f>G2*H2</f>
        <v>3225</v>
      </c>
      <c r="N2" s="33">
        <f>M2-H2</f>
        <v>3096</v>
      </c>
      <c r="O2" s="31" t="str">
        <f>TEXT(B2,"MMMM")</f>
        <v>January</v>
      </c>
      <c r="P2" s="33">
        <f>H2-K2</f>
        <v>-2612.25</v>
      </c>
      <c r="Q2" s="33">
        <f>N2/K2</f>
        <v>1.1294117647058823</v>
      </c>
      <c r="R2" s="33">
        <f>K2/G2</f>
        <v>109.65</v>
      </c>
      <c r="S2" s="33" t="str">
        <f>IF(G2&gt;=10,"Large","Small")</f>
        <v>Large</v>
      </c>
      <c r="T2" s="33" t="str">
        <f>IF(K1&gt;1000,"High","Low")</f>
        <v>High</v>
      </c>
    </row>
    <row r="3" spans="1:20" x14ac:dyDescent="0.3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>
        <v>6</v>
      </c>
      <c r="H3" s="6">
        <v>999</v>
      </c>
      <c r="I3" s="6">
        <f t="shared" si="0"/>
        <v>5994</v>
      </c>
      <c r="J3" s="7">
        <v>10</v>
      </c>
      <c r="K3" s="6">
        <f t="shared" si="1"/>
        <v>5394.6</v>
      </c>
      <c r="L3" s="5" t="s">
        <v>18</v>
      </c>
      <c r="M3" s="31">
        <f t="shared" ref="M3:M66" si="2">G3*H3</f>
        <v>5994</v>
      </c>
      <c r="N3" s="33">
        <f t="shared" ref="N3:N66" si="3">M3-H3</f>
        <v>4995</v>
      </c>
      <c r="O3" s="31" t="str">
        <f t="shared" ref="O3:O66" si="4">TEXT(B3,"MMMM")</f>
        <v>January</v>
      </c>
      <c r="P3" s="33">
        <f t="shared" ref="P3:P66" si="5">H3-K3</f>
        <v>-4395.6000000000004</v>
      </c>
      <c r="Q3" s="33">
        <f t="shared" ref="Q3:Q66" si="6">N3/K3</f>
        <v>0.92592592592592582</v>
      </c>
      <c r="R3" s="33">
        <f t="shared" ref="R3:R66" si="7">K3/G3</f>
        <v>899.1</v>
      </c>
      <c r="S3" s="33" t="str">
        <f t="shared" ref="S3:S66" si="8">IF(G3&gt;=10,"Large","Small")</f>
        <v>Small</v>
      </c>
      <c r="T3" s="33" t="str">
        <f t="shared" ref="T3:T66" si="9">IF(K2&gt;1000,"High","Low")</f>
        <v>High</v>
      </c>
    </row>
    <row r="4" spans="1:20" x14ac:dyDescent="0.3">
      <c r="A4" s="2" t="s">
        <v>25</v>
      </c>
      <c r="B4" s="2" t="s">
        <v>20</v>
      </c>
      <c r="C4" s="2" t="s">
        <v>14</v>
      </c>
      <c r="D4" s="2" t="s">
        <v>15</v>
      </c>
      <c r="E4" s="2" t="s">
        <v>16</v>
      </c>
      <c r="F4" s="2" t="s">
        <v>17</v>
      </c>
      <c r="G4" s="2">
        <v>3</v>
      </c>
      <c r="H4" s="3">
        <v>129</v>
      </c>
      <c r="I4" s="3">
        <f t="shared" si="0"/>
        <v>387</v>
      </c>
      <c r="J4" s="4">
        <v>0</v>
      </c>
      <c r="K4" s="3">
        <f t="shared" si="1"/>
        <v>387</v>
      </c>
      <c r="L4" s="2" t="s">
        <v>18</v>
      </c>
      <c r="M4" s="31">
        <f t="shared" si="2"/>
        <v>387</v>
      </c>
      <c r="N4" s="33">
        <f t="shared" si="3"/>
        <v>258</v>
      </c>
      <c r="O4" s="31" t="str">
        <f t="shared" si="4"/>
        <v>January</v>
      </c>
      <c r="P4" s="33">
        <f t="shared" si="5"/>
        <v>-258</v>
      </c>
      <c r="Q4" s="33">
        <f t="shared" si="6"/>
        <v>0.66666666666666663</v>
      </c>
      <c r="R4" s="33">
        <f t="shared" si="7"/>
        <v>129</v>
      </c>
      <c r="S4" s="33" t="str">
        <f t="shared" si="8"/>
        <v>Small</v>
      </c>
      <c r="T4" s="33" t="str">
        <f t="shared" si="9"/>
        <v>High</v>
      </c>
    </row>
    <row r="5" spans="1:20" x14ac:dyDescent="0.3">
      <c r="A5" s="5" t="s">
        <v>26</v>
      </c>
      <c r="B5" s="5" t="s">
        <v>27</v>
      </c>
      <c r="C5" s="5" t="s">
        <v>28</v>
      </c>
      <c r="D5" s="5" t="s">
        <v>22</v>
      </c>
      <c r="E5" s="5" t="s">
        <v>29</v>
      </c>
      <c r="F5" s="5" t="s">
        <v>30</v>
      </c>
      <c r="G5" s="5">
        <v>19</v>
      </c>
      <c r="H5" s="6">
        <v>29.99</v>
      </c>
      <c r="I5" s="6">
        <f t="shared" si="0"/>
        <v>569.80999999999995</v>
      </c>
      <c r="J5" s="7">
        <v>5</v>
      </c>
      <c r="K5" s="6">
        <f t="shared" si="1"/>
        <v>541.31949999999995</v>
      </c>
      <c r="L5" s="5" t="s">
        <v>18</v>
      </c>
      <c r="M5" s="31">
        <f t="shared" si="2"/>
        <v>569.80999999999995</v>
      </c>
      <c r="N5" s="33">
        <f t="shared" si="3"/>
        <v>539.81999999999994</v>
      </c>
      <c r="O5" s="31" t="str">
        <f t="shared" si="4"/>
        <v>January</v>
      </c>
      <c r="P5" s="33">
        <f t="shared" si="5"/>
        <v>-511.32949999999994</v>
      </c>
      <c r="Q5" s="33">
        <f t="shared" si="6"/>
        <v>0.99722991689750695</v>
      </c>
      <c r="R5" s="33">
        <f t="shared" si="7"/>
        <v>28.490499999999997</v>
      </c>
      <c r="S5" s="33" t="str">
        <f t="shared" si="8"/>
        <v>Large</v>
      </c>
      <c r="T5" s="33" t="str">
        <f t="shared" si="9"/>
        <v>Low</v>
      </c>
    </row>
    <row r="6" spans="1:20" x14ac:dyDescent="0.3">
      <c r="A6" s="2" t="s">
        <v>31</v>
      </c>
      <c r="B6" s="2" t="s">
        <v>27</v>
      </c>
      <c r="C6" s="2" t="s">
        <v>32</v>
      </c>
      <c r="D6" s="2" t="s">
        <v>33</v>
      </c>
      <c r="E6" s="2" t="s">
        <v>34</v>
      </c>
      <c r="F6" s="2" t="s">
        <v>30</v>
      </c>
      <c r="G6" s="2">
        <v>20</v>
      </c>
      <c r="H6" s="3">
        <v>19.989999999999998</v>
      </c>
      <c r="I6" s="3">
        <f t="shared" si="0"/>
        <v>399.79999999999995</v>
      </c>
      <c r="J6" s="4">
        <v>0</v>
      </c>
      <c r="K6" s="3">
        <f t="shared" si="1"/>
        <v>399.79999999999995</v>
      </c>
      <c r="L6" s="2" t="s">
        <v>18</v>
      </c>
      <c r="M6" s="31">
        <f t="shared" si="2"/>
        <v>399.79999999999995</v>
      </c>
      <c r="N6" s="33">
        <f t="shared" si="3"/>
        <v>379.80999999999995</v>
      </c>
      <c r="O6" s="31" t="str">
        <f t="shared" si="4"/>
        <v>January</v>
      </c>
      <c r="P6" s="33">
        <f t="shared" si="5"/>
        <v>-379.80999999999995</v>
      </c>
      <c r="Q6" s="33">
        <f t="shared" si="6"/>
        <v>0.95</v>
      </c>
      <c r="R6" s="33">
        <f t="shared" si="7"/>
        <v>19.989999999999998</v>
      </c>
      <c r="S6" s="33" t="str">
        <f t="shared" si="8"/>
        <v>Large</v>
      </c>
      <c r="T6" s="33" t="str">
        <f t="shared" si="9"/>
        <v>Low</v>
      </c>
    </row>
    <row r="7" spans="1:20" x14ac:dyDescent="0.3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17</v>
      </c>
      <c r="G7" s="5">
        <v>11</v>
      </c>
      <c r="H7" s="6">
        <v>299</v>
      </c>
      <c r="I7" s="6">
        <f t="shared" si="0"/>
        <v>3289</v>
      </c>
      <c r="J7" s="7">
        <v>0</v>
      </c>
      <c r="K7" s="6">
        <f t="shared" si="1"/>
        <v>3289</v>
      </c>
      <c r="L7" s="5" t="s">
        <v>18</v>
      </c>
      <c r="M7" s="31">
        <f t="shared" si="2"/>
        <v>3289</v>
      </c>
      <c r="N7" s="33">
        <f t="shared" si="3"/>
        <v>2990</v>
      </c>
      <c r="O7" s="31" t="str">
        <f t="shared" si="4"/>
        <v>January</v>
      </c>
      <c r="P7" s="33">
        <f t="shared" si="5"/>
        <v>-2990</v>
      </c>
      <c r="Q7" s="33">
        <f t="shared" si="6"/>
        <v>0.90909090909090906</v>
      </c>
      <c r="R7" s="33">
        <f t="shared" si="7"/>
        <v>299</v>
      </c>
      <c r="S7" s="33" t="str">
        <f t="shared" si="8"/>
        <v>Large</v>
      </c>
      <c r="T7" s="33" t="str">
        <f t="shared" si="9"/>
        <v>Low</v>
      </c>
    </row>
    <row r="8" spans="1:20" x14ac:dyDescent="0.3">
      <c r="A8" s="2" t="s">
        <v>40</v>
      </c>
      <c r="B8" s="2" t="s">
        <v>36</v>
      </c>
      <c r="C8" s="2" t="s">
        <v>41</v>
      </c>
      <c r="D8" s="2" t="s">
        <v>15</v>
      </c>
      <c r="E8" s="2" t="s">
        <v>16</v>
      </c>
      <c r="F8" s="2" t="s">
        <v>17</v>
      </c>
      <c r="G8" s="2">
        <v>23</v>
      </c>
      <c r="H8" s="3">
        <v>129</v>
      </c>
      <c r="I8" s="3">
        <f t="shared" si="0"/>
        <v>2967</v>
      </c>
      <c r="J8" s="4">
        <v>10</v>
      </c>
      <c r="K8" s="3">
        <f t="shared" si="1"/>
        <v>2670.3</v>
      </c>
      <c r="L8" s="2" t="s">
        <v>18</v>
      </c>
      <c r="M8" s="31">
        <f t="shared" si="2"/>
        <v>2967</v>
      </c>
      <c r="N8" s="33">
        <f t="shared" si="3"/>
        <v>2838</v>
      </c>
      <c r="O8" s="31" t="str">
        <f t="shared" si="4"/>
        <v>January</v>
      </c>
      <c r="P8" s="33">
        <f t="shared" si="5"/>
        <v>-2541.3000000000002</v>
      </c>
      <c r="Q8" s="33">
        <f t="shared" si="6"/>
        <v>1.0628019323671496</v>
      </c>
      <c r="R8" s="33">
        <f t="shared" si="7"/>
        <v>116.10000000000001</v>
      </c>
      <c r="S8" s="33" t="str">
        <f t="shared" si="8"/>
        <v>Large</v>
      </c>
      <c r="T8" s="33" t="str">
        <f t="shared" si="9"/>
        <v>High</v>
      </c>
    </row>
    <row r="9" spans="1:20" x14ac:dyDescent="0.3">
      <c r="A9" s="5" t="s">
        <v>42</v>
      </c>
      <c r="B9" s="5" t="s">
        <v>36</v>
      </c>
      <c r="C9" s="5" t="s">
        <v>32</v>
      </c>
      <c r="D9" s="5" t="s">
        <v>33</v>
      </c>
      <c r="E9" s="5" t="s">
        <v>43</v>
      </c>
      <c r="F9" s="5" t="s">
        <v>24</v>
      </c>
      <c r="G9" s="5">
        <v>23</v>
      </c>
      <c r="H9" s="6">
        <v>399</v>
      </c>
      <c r="I9" s="6">
        <f t="shared" si="0"/>
        <v>9177</v>
      </c>
      <c r="J9" s="7">
        <v>0</v>
      </c>
      <c r="K9" s="6">
        <f t="shared" si="1"/>
        <v>9177</v>
      </c>
      <c r="L9" s="5" t="s">
        <v>18</v>
      </c>
      <c r="M9" s="31">
        <f t="shared" si="2"/>
        <v>9177</v>
      </c>
      <c r="N9" s="33">
        <f t="shared" si="3"/>
        <v>8778</v>
      </c>
      <c r="O9" s="31" t="str">
        <f t="shared" si="4"/>
        <v>January</v>
      </c>
      <c r="P9" s="33">
        <f t="shared" si="5"/>
        <v>-8778</v>
      </c>
      <c r="Q9" s="33">
        <f t="shared" si="6"/>
        <v>0.95652173913043481</v>
      </c>
      <c r="R9" s="33">
        <f t="shared" si="7"/>
        <v>399</v>
      </c>
      <c r="S9" s="33" t="str">
        <f t="shared" si="8"/>
        <v>Large</v>
      </c>
      <c r="T9" s="33" t="str">
        <f t="shared" si="9"/>
        <v>High</v>
      </c>
    </row>
    <row r="10" spans="1:20" x14ac:dyDescent="0.3">
      <c r="A10" s="2" t="s">
        <v>44</v>
      </c>
      <c r="B10" s="2" t="s">
        <v>45</v>
      </c>
      <c r="C10" s="2" t="s">
        <v>37</v>
      </c>
      <c r="D10" s="2" t="s">
        <v>38</v>
      </c>
      <c r="E10" s="2" t="s">
        <v>46</v>
      </c>
      <c r="F10" s="2" t="s">
        <v>30</v>
      </c>
      <c r="G10" s="2">
        <v>9</v>
      </c>
      <c r="H10" s="3">
        <v>59.99</v>
      </c>
      <c r="I10" s="3">
        <f t="shared" si="0"/>
        <v>539.91</v>
      </c>
      <c r="J10" s="4">
        <v>5</v>
      </c>
      <c r="K10" s="3">
        <f t="shared" si="1"/>
        <v>512.91449999999998</v>
      </c>
      <c r="L10" s="2" t="s">
        <v>18</v>
      </c>
      <c r="M10" s="31">
        <f t="shared" si="2"/>
        <v>539.91</v>
      </c>
      <c r="N10" s="33">
        <f t="shared" si="3"/>
        <v>479.91999999999996</v>
      </c>
      <c r="O10" s="31" t="str">
        <f t="shared" si="4"/>
        <v>January</v>
      </c>
      <c r="P10" s="33">
        <f t="shared" si="5"/>
        <v>-452.92449999999997</v>
      </c>
      <c r="Q10" s="33">
        <f t="shared" si="6"/>
        <v>0.93567251461988299</v>
      </c>
      <c r="R10" s="33">
        <f t="shared" si="7"/>
        <v>56.990499999999997</v>
      </c>
      <c r="S10" s="33" t="str">
        <f t="shared" si="8"/>
        <v>Small</v>
      </c>
      <c r="T10" s="33" t="str">
        <f t="shared" si="9"/>
        <v>High</v>
      </c>
    </row>
    <row r="11" spans="1:20" x14ac:dyDescent="0.3">
      <c r="A11" s="5" t="s">
        <v>47</v>
      </c>
      <c r="B11" s="5" t="s">
        <v>48</v>
      </c>
      <c r="C11" s="5" t="s">
        <v>49</v>
      </c>
      <c r="D11" s="5" t="s">
        <v>38</v>
      </c>
      <c r="E11" s="5" t="s">
        <v>46</v>
      </c>
      <c r="F11" s="5" t="s">
        <v>30</v>
      </c>
      <c r="G11" s="5">
        <v>28</v>
      </c>
      <c r="H11" s="6">
        <v>59.99</v>
      </c>
      <c r="I11" s="6">
        <f t="shared" si="0"/>
        <v>1679.72</v>
      </c>
      <c r="J11" s="7">
        <v>10</v>
      </c>
      <c r="K11" s="6">
        <f t="shared" si="1"/>
        <v>1511.748</v>
      </c>
      <c r="L11" s="5" t="s">
        <v>18</v>
      </c>
      <c r="M11" s="31">
        <f t="shared" si="2"/>
        <v>1679.72</v>
      </c>
      <c r="N11" s="33">
        <f t="shared" si="3"/>
        <v>1619.73</v>
      </c>
      <c r="O11" s="31" t="str">
        <f t="shared" si="4"/>
        <v>January</v>
      </c>
      <c r="P11" s="33">
        <f t="shared" si="5"/>
        <v>-1451.758</v>
      </c>
      <c r="Q11" s="33">
        <f t="shared" si="6"/>
        <v>1.0714285714285714</v>
      </c>
      <c r="R11" s="33">
        <f t="shared" si="7"/>
        <v>53.991</v>
      </c>
      <c r="S11" s="33" t="str">
        <f t="shared" si="8"/>
        <v>Large</v>
      </c>
      <c r="T11" s="33" t="str">
        <f t="shared" si="9"/>
        <v>Low</v>
      </c>
    </row>
    <row r="12" spans="1:20" x14ac:dyDescent="0.3">
      <c r="A12" s="2" t="s">
        <v>50</v>
      </c>
      <c r="B12" s="2" t="s">
        <v>51</v>
      </c>
      <c r="C12" s="2" t="s">
        <v>52</v>
      </c>
      <c r="D12" s="2" t="s">
        <v>33</v>
      </c>
      <c r="E12" s="2" t="s">
        <v>43</v>
      </c>
      <c r="F12" s="2" t="s">
        <v>24</v>
      </c>
      <c r="G12" s="2">
        <v>26</v>
      </c>
      <c r="H12" s="3">
        <v>399</v>
      </c>
      <c r="I12" s="3">
        <f t="shared" si="0"/>
        <v>10374</v>
      </c>
      <c r="J12" s="4">
        <v>10</v>
      </c>
      <c r="K12" s="3">
        <f t="shared" si="1"/>
        <v>9336.6</v>
      </c>
      <c r="L12" s="2" t="s">
        <v>18</v>
      </c>
      <c r="M12" s="31">
        <f t="shared" si="2"/>
        <v>10374</v>
      </c>
      <c r="N12" s="33">
        <f t="shared" si="3"/>
        <v>9975</v>
      </c>
      <c r="O12" s="31" t="str">
        <f t="shared" si="4"/>
        <v>January</v>
      </c>
      <c r="P12" s="33">
        <f t="shared" si="5"/>
        <v>-8937.6</v>
      </c>
      <c r="Q12" s="33">
        <f t="shared" si="6"/>
        <v>1.0683760683760684</v>
      </c>
      <c r="R12" s="33">
        <f t="shared" si="7"/>
        <v>359.1</v>
      </c>
      <c r="S12" s="33" t="str">
        <f t="shared" si="8"/>
        <v>Large</v>
      </c>
      <c r="T12" s="33" t="str">
        <f t="shared" si="9"/>
        <v>High</v>
      </c>
    </row>
    <row r="13" spans="1:20" x14ac:dyDescent="0.3">
      <c r="A13" s="5" t="s">
        <v>53</v>
      </c>
      <c r="B13" s="5" t="s">
        <v>54</v>
      </c>
      <c r="C13" s="5" t="s">
        <v>55</v>
      </c>
      <c r="D13" s="5" t="s">
        <v>38</v>
      </c>
      <c r="E13" s="5" t="s">
        <v>23</v>
      </c>
      <c r="F13" s="5" t="s">
        <v>24</v>
      </c>
      <c r="G13" s="5">
        <v>21</v>
      </c>
      <c r="H13" s="6">
        <v>999</v>
      </c>
      <c r="I13" s="6">
        <f t="shared" si="0"/>
        <v>20979</v>
      </c>
      <c r="J13" s="7">
        <v>15</v>
      </c>
      <c r="K13" s="6">
        <f t="shared" si="1"/>
        <v>17832.149999999998</v>
      </c>
      <c r="L13" s="5" t="s">
        <v>18</v>
      </c>
      <c r="M13" s="31">
        <f t="shared" si="2"/>
        <v>20979</v>
      </c>
      <c r="N13" s="33">
        <f t="shared" si="3"/>
        <v>19980</v>
      </c>
      <c r="O13" s="31" t="str">
        <f t="shared" si="4"/>
        <v>January</v>
      </c>
      <c r="P13" s="33">
        <f t="shared" si="5"/>
        <v>-16833.149999999998</v>
      </c>
      <c r="Q13" s="33">
        <f t="shared" si="6"/>
        <v>1.1204481792717089</v>
      </c>
      <c r="R13" s="33">
        <f t="shared" si="7"/>
        <v>849.14999999999986</v>
      </c>
      <c r="S13" s="33" t="str">
        <f t="shared" si="8"/>
        <v>Large</v>
      </c>
      <c r="T13" s="33" t="str">
        <f t="shared" si="9"/>
        <v>High</v>
      </c>
    </row>
    <row r="14" spans="1:20" x14ac:dyDescent="0.3">
      <c r="A14" s="2" t="s">
        <v>56</v>
      </c>
      <c r="B14" s="2" t="s">
        <v>57</v>
      </c>
      <c r="C14" s="2" t="s">
        <v>32</v>
      </c>
      <c r="D14" s="2" t="s">
        <v>33</v>
      </c>
      <c r="E14" s="2" t="s">
        <v>29</v>
      </c>
      <c r="F14" s="2" t="s">
        <v>30</v>
      </c>
      <c r="G14" s="2">
        <v>3</v>
      </c>
      <c r="H14" s="3">
        <v>29.99</v>
      </c>
      <c r="I14" s="3">
        <f t="shared" si="0"/>
        <v>89.97</v>
      </c>
      <c r="J14" s="4">
        <v>8</v>
      </c>
      <c r="K14" s="3">
        <f t="shared" si="1"/>
        <v>82.772400000000005</v>
      </c>
      <c r="L14" s="2" t="s">
        <v>18</v>
      </c>
      <c r="M14" s="31">
        <f t="shared" si="2"/>
        <v>89.97</v>
      </c>
      <c r="N14" s="33">
        <f t="shared" si="3"/>
        <v>59.980000000000004</v>
      </c>
      <c r="O14" s="31" t="str">
        <f t="shared" si="4"/>
        <v>January</v>
      </c>
      <c r="P14" s="33">
        <f t="shared" si="5"/>
        <v>-52.78240000000001</v>
      </c>
      <c r="Q14" s="33">
        <f t="shared" si="6"/>
        <v>0.72463768115942029</v>
      </c>
      <c r="R14" s="33">
        <f t="shared" si="7"/>
        <v>27.590800000000002</v>
      </c>
      <c r="S14" s="33" t="str">
        <f t="shared" si="8"/>
        <v>Small</v>
      </c>
      <c r="T14" s="33" t="str">
        <f t="shared" si="9"/>
        <v>High</v>
      </c>
    </row>
    <row r="15" spans="1:20" x14ac:dyDescent="0.3">
      <c r="A15" s="5" t="s">
        <v>58</v>
      </c>
      <c r="B15" s="5" t="s">
        <v>59</v>
      </c>
      <c r="C15" s="5" t="s">
        <v>28</v>
      </c>
      <c r="D15" s="5" t="s">
        <v>22</v>
      </c>
      <c r="E15" s="5" t="s">
        <v>60</v>
      </c>
      <c r="F15" s="5" t="s">
        <v>61</v>
      </c>
      <c r="G15" s="5">
        <v>27</v>
      </c>
      <c r="H15" s="6">
        <v>49.99</v>
      </c>
      <c r="I15" s="6">
        <f t="shared" si="0"/>
        <v>1349.73</v>
      </c>
      <c r="J15" s="7">
        <v>15</v>
      </c>
      <c r="K15" s="6">
        <f t="shared" si="1"/>
        <v>1147.2705000000001</v>
      </c>
      <c r="L15" s="5" t="s">
        <v>18</v>
      </c>
      <c r="M15" s="31">
        <f t="shared" si="2"/>
        <v>1349.73</v>
      </c>
      <c r="N15" s="33">
        <f t="shared" si="3"/>
        <v>1299.74</v>
      </c>
      <c r="O15" s="31" t="str">
        <f t="shared" si="4"/>
        <v>January</v>
      </c>
      <c r="P15" s="33">
        <f t="shared" si="5"/>
        <v>-1097.2805000000001</v>
      </c>
      <c r="Q15" s="33">
        <f t="shared" si="6"/>
        <v>1.1328976034858387</v>
      </c>
      <c r="R15" s="33">
        <f t="shared" si="7"/>
        <v>42.491500000000002</v>
      </c>
      <c r="S15" s="33" t="str">
        <f t="shared" si="8"/>
        <v>Large</v>
      </c>
      <c r="T15" s="33" t="str">
        <f t="shared" si="9"/>
        <v>Low</v>
      </c>
    </row>
    <row r="16" spans="1:20" x14ac:dyDescent="0.3">
      <c r="A16" s="2" t="s">
        <v>62</v>
      </c>
      <c r="B16" s="2" t="s">
        <v>63</v>
      </c>
      <c r="C16" s="2" t="s">
        <v>28</v>
      </c>
      <c r="D16" s="2" t="s">
        <v>22</v>
      </c>
      <c r="E16" s="2" t="s">
        <v>64</v>
      </c>
      <c r="F16" s="2" t="s">
        <v>24</v>
      </c>
      <c r="G16" s="2">
        <v>30</v>
      </c>
      <c r="H16" s="3">
        <v>1299</v>
      </c>
      <c r="I16" s="3">
        <f t="shared" si="0"/>
        <v>38970</v>
      </c>
      <c r="J16" s="4">
        <v>10</v>
      </c>
      <c r="K16" s="3">
        <f t="shared" si="1"/>
        <v>35073</v>
      </c>
      <c r="L16" s="2" t="s">
        <v>18</v>
      </c>
      <c r="M16" s="31">
        <f t="shared" si="2"/>
        <v>38970</v>
      </c>
      <c r="N16" s="33">
        <f t="shared" si="3"/>
        <v>37671</v>
      </c>
      <c r="O16" s="31" t="str">
        <f t="shared" si="4"/>
        <v>January</v>
      </c>
      <c r="P16" s="33">
        <f t="shared" si="5"/>
        <v>-33774</v>
      </c>
      <c r="Q16" s="33">
        <f t="shared" si="6"/>
        <v>1.0740740740740742</v>
      </c>
      <c r="R16" s="33">
        <f t="shared" si="7"/>
        <v>1169.0999999999999</v>
      </c>
      <c r="S16" s="33" t="str">
        <f t="shared" si="8"/>
        <v>Large</v>
      </c>
      <c r="T16" s="33" t="str">
        <f t="shared" si="9"/>
        <v>High</v>
      </c>
    </row>
    <row r="17" spans="1:20" x14ac:dyDescent="0.3">
      <c r="A17" s="5" t="s">
        <v>65</v>
      </c>
      <c r="B17" s="5" t="s">
        <v>63</v>
      </c>
      <c r="C17" s="5" t="s">
        <v>55</v>
      </c>
      <c r="D17" s="5" t="s">
        <v>38</v>
      </c>
      <c r="E17" s="5" t="s">
        <v>66</v>
      </c>
      <c r="F17" s="5" t="s">
        <v>17</v>
      </c>
      <c r="G17" s="5">
        <v>19</v>
      </c>
      <c r="H17" s="6">
        <v>549</v>
      </c>
      <c r="I17" s="6">
        <f t="shared" si="0"/>
        <v>10431</v>
      </c>
      <c r="J17" s="7">
        <v>5</v>
      </c>
      <c r="K17" s="6">
        <f t="shared" si="1"/>
        <v>9909.4499999999989</v>
      </c>
      <c r="L17" s="5" t="s">
        <v>18</v>
      </c>
      <c r="M17" s="31">
        <f t="shared" si="2"/>
        <v>10431</v>
      </c>
      <c r="N17" s="33">
        <f t="shared" si="3"/>
        <v>9882</v>
      </c>
      <c r="O17" s="31" t="str">
        <f t="shared" si="4"/>
        <v>January</v>
      </c>
      <c r="P17" s="33">
        <f t="shared" si="5"/>
        <v>-9360.4499999999989</v>
      </c>
      <c r="Q17" s="33">
        <f t="shared" si="6"/>
        <v>0.99722991689750706</v>
      </c>
      <c r="R17" s="33">
        <f t="shared" si="7"/>
        <v>521.54999999999995</v>
      </c>
      <c r="S17" s="33" t="str">
        <f t="shared" si="8"/>
        <v>Large</v>
      </c>
      <c r="T17" s="33" t="str">
        <f t="shared" si="9"/>
        <v>High</v>
      </c>
    </row>
    <row r="18" spans="1:20" x14ac:dyDescent="0.3">
      <c r="A18" s="2" t="s">
        <v>67</v>
      </c>
      <c r="B18" s="2" t="s">
        <v>68</v>
      </c>
      <c r="C18" s="2" t="s">
        <v>55</v>
      </c>
      <c r="D18" s="2" t="s">
        <v>38</v>
      </c>
      <c r="E18" s="2" t="s">
        <v>39</v>
      </c>
      <c r="F18" s="2" t="s">
        <v>17</v>
      </c>
      <c r="G18" s="2">
        <v>6</v>
      </c>
      <c r="H18" s="3">
        <v>299</v>
      </c>
      <c r="I18" s="3">
        <f t="shared" si="0"/>
        <v>1794</v>
      </c>
      <c r="J18" s="4">
        <v>5</v>
      </c>
      <c r="K18" s="3">
        <f t="shared" si="1"/>
        <v>1704.3</v>
      </c>
      <c r="L18" s="2" t="s">
        <v>18</v>
      </c>
      <c r="M18" s="31">
        <f t="shared" si="2"/>
        <v>1794</v>
      </c>
      <c r="N18" s="33">
        <f t="shared" si="3"/>
        <v>1495</v>
      </c>
      <c r="O18" s="31" t="str">
        <f t="shared" si="4"/>
        <v>January</v>
      </c>
      <c r="P18" s="33">
        <f t="shared" si="5"/>
        <v>-1405.3</v>
      </c>
      <c r="Q18" s="33">
        <f t="shared" si="6"/>
        <v>0.87719298245614041</v>
      </c>
      <c r="R18" s="33">
        <f t="shared" si="7"/>
        <v>284.05</v>
      </c>
      <c r="S18" s="33" t="str">
        <f t="shared" si="8"/>
        <v>Small</v>
      </c>
      <c r="T18" s="33" t="str">
        <f t="shared" si="9"/>
        <v>High</v>
      </c>
    </row>
    <row r="19" spans="1:20" x14ac:dyDescent="0.3">
      <c r="A19" s="8" t="s">
        <v>69</v>
      </c>
      <c r="B19" s="8" t="s">
        <v>70</v>
      </c>
      <c r="C19" s="8" t="s">
        <v>37</v>
      </c>
      <c r="D19" s="8" t="s">
        <v>38</v>
      </c>
      <c r="E19" s="8" t="s">
        <v>71</v>
      </c>
      <c r="F19" s="8" t="s">
        <v>24</v>
      </c>
      <c r="G19" s="8">
        <v>30</v>
      </c>
      <c r="H19" s="9">
        <v>249</v>
      </c>
      <c r="I19" s="9">
        <f t="shared" si="0"/>
        <v>7470</v>
      </c>
      <c r="J19" s="10">
        <v>0</v>
      </c>
      <c r="K19" s="9">
        <f t="shared" si="1"/>
        <v>7470</v>
      </c>
      <c r="L19" s="8" t="s">
        <v>72</v>
      </c>
      <c r="M19" s="31">
        <f t="shared" si="2"/>
        <v>7470</v>
      </c>
      <c r="N19" s="33">
        <f t="shared" si="3"/>
        <v>7221</v>
      </c>
      <c r="O19" s="31" t="str">
        <f t="shared" si="4"/>
        <v>February</v>
      </c>
      <c r="P19" s="33">
        <f t="shared" si="5"/>
        <v>-7221</v>
      </c>
      <c r="Q19" s="33">
        <f t="shared" si="6"/>
        <v>0.96666666666666667</v>
      </c>
      <c r="R19" s="33">
        <f t="shared" si="7"/>
        <v>249</v>
      </c>
      <c r="S19" s="33" t="str">
        <f t="shared" si="8"/>
        <v>Large</v>
      </c>
      <c r="T19" s="33" t="str">
        <f t="shared" si="9"/>
        <v>High</v>
      </c>
    </row>
    <row r="20" spans="1:20" x14ac:dyDescent="0.3">
      <c r="A20" s="2" t="s">
        <v>73</v>
      </c>
      <c r="B20" s="2" t="s">
        <v>70</v>
      </c>
      <c r="C20" s="2" t="s">
        <v>32</v>
      </c>
      <c r="D20" s="2" t="s">
        <v>33</v>
      </c>
      <c r="E20" s="2" t="s">
        <v>74</v>
      </c>
      <c r="F20" s="2" t="s">
        <v>30</v>
      </c>
      <c r="G20" s="2">
        <v>22</v>
      </c>
      <c r="H20" s="3">
        <v>49.99</v>
      </c>
      <c r="I20" s="3">
        <f t="shared" si="0"/>
        <v>1099.78</v>
      </c>
      <c r="J20" s="4">
        <v>0</v>
      </c>
      <c r="K20" s="3">
        <f t="shared" si="1"/>
        <v>1099.78</v>
      </c>
      <c r="L20" s="2" t="s">
        <v>18</v>
      </c>
      <c r="M20" s="31">
        <f t="shared" si="2"/>
        <v>1099.78</v>
      </c>
      <c r="N20" s="33">
        <f t="shared" si="3"/>
        <v>1049.79</v>
      </c>
      <c r="O20" s="31" t="str">
        <f t="shared" si="4"/>
        <v>February</v>
      </c>
      <c r="P20" s="33">
        <f t="shared" si="5"/>
        <v>-1049.79</v>
      </c>
      <c r="Q20" s="33">
        <f t="shared" si="6"/>
        <v>0.95454545454545459</v>
      </c>
      <c r="R20" s="33">
        <f t="shared" si="7"/>
        <v>49.99</v>
      </c>
      <c r="S20" s="33" t="str">
        <f t="shared" si="8"/>
        <v>Large</v>
      </c>
      <c r="T20" s="33" t="str">
        <f t="shared" si="9"/>
        <v>High</v>
      </c>
    </row>
    <row r="21" spans="1:20" x14ac:dyDescent="0.3">
      <c r="A21" s="5" t="s">
        <v>75</v>
      </c>
      <c r="B21" s="5" t="s">
        <v>76</v>
      </c>
      <c r="C21" s="5" t="s">
        <v>55</v>
      </c>
      <c r="D21" s="5" t="s">
        <v>38</v>
      </c>
      <c r="E21" s="5" t="s">
        <v>77</v>
      </c>
      <c r="F21" s="5" t="s">
        <v>61</v>
      </c>
      <c r="G21" s="5">
        <v>30</v>
      </c>
      <c r="H21" s="6">
        <v>149</v>
      </c>
      <c r="I21" s="6">
        <f t="shared" si="0"/>
        <v>4470</v>
      </c>
      <c r="J21" s="7">
        <v>5</v>
      </c>
      <c r="K21" s="6">
        <f t="shared" si="1"/>
        <v>4246.5</v>
      </c>
      <c r="L21" s="5" t="s">
        <v>18</v>
      </c>
      <c r="M21" s="31">
        <f t="shared" si="2"/>
        <v>4470</v>
      </c>
      <c r="N21" s="33">
        <f t="shared" si="3"/>
        <v>4321</v>
      </c>
      <c r="O21" s="31" t="str">
        <f t="shared" si="4"/>
        <v>February</v>
      </c>
      <c r="P21" s="33">
        <f t="shared" si="5"/>
        <v>-4097.5</v>
      </c>
      <c r="Q21" s="33">
        <f t="shared" si="6"/>
        <v>1.0175438596491229</v>
      </c>
      <c r="R21" s="33">
        <f t="shared" si="7"/>
        <v>141.55000000000001</v>
      </c>
      <c r="S21" s="33" t="str">
        <f t="shared" si="8"/>
        <v>Large</v>
      </c>
      <c r="T21" s="33" t="str">
        <f t="shared" si="9"/>
        <v>High</v>
      </c>
    </row>
    <row r="22" spans="1:20" x14ac:dyDescent="0.3">
      <c r="A22" s="2" t="s">
        <v>78</v>
      </c>
      <c r="B22" s="2" t="s">
        <v>79</v>
      </c>
      <c r="C22" s="2" t="s">
        <v>80</v>
      </c>
      <c r="D22" s="2" t="s">
        <v>22</v>
      </c>
      <c r="E22" s="2" t="s">
        <v>74</v>
      </c>
      <c r="F22" s="2" t="s">
        <v>30</v>
      </c>
      <c r="G22" s="2">
        <v>26</v>
      </c>
      <c r="H22" s="3">
        <v>49.99</v>
      </c>
      <c r="I22" s="3">
        <f t="shared" si="0"/>
        <v>1299.74</v>
      </c>
      <c r="J22" s="4">
        <v>12</v>
      </c>
      <c r="K22" s="3">
        <f t="shared" si="1"/>
        <v>1143.7711999999999</v>
      </c>
      <c r="L22" s="2" t="s">
        <v>18</v>
      </c>
      <c r="M22" s="31">
        <f t="shared" si="2"/>
        <v>1299.74</v>
      </c>
      <c r="N22" s="33">
        <f t="shared" si="3"/>
        <v>1249.75</v>
      </c>
      <c r="O22" s="31" t="str">
        <f t="shared" si="4"/>
        <v>February</v>
      </c>
      <c r="P22" s="33">
        <f t="shared" si="5"/>
        <v>-1093.7811999999999</v>
      </c>
      <c r="Q22" s="33">
        <f t="shared" si="6"/>
        <v>1.0926573426573427</v>
      </c>
      <c r="R22" s="33">
        <f t="shared" si="7"/>
        <v>43.991199999999999</v>
      </c>
      <c r="S22" s="33" t="str">
        <f t="shared" si="8"/>
        <v>Large</v>
      </c>
      <c r="T22" s="33" t="str">
        <f t="shared" si="9"/>
        <v>High</v>
      </c>
    </row>
    <row r="23" spans="1:20" x14ac:dyDescent="0.3">
      <c r="A23" s="5" t="s">
        <v>81</v>
      </c>
      <c r="B23" s="5" t="s">
        <v>79</v>
      </c>
      <c r="C23" s="5" t="s">
        <v>28</v>
      </c>
      <c r="D23" s="5" t="s">
        <v>22</v>
      </c>
      <c r="E23" s="5" t="s">
        <v>82</v>
      </c>
      <c r="F23" s="5" t="s">
        <v>61</v>
      </c>
      <c r="G23" s="5">
        <v>2</v>
      </c>
      <c r="H23" s="6">
        <v>59.99</v>
      </c>
      <c r="I23" s="6">
        <f t="shared" si="0"/>
        <v>119.98</v>
      </c>
      <c r="J23" s="7">
        <v>15</v>
      </c>
      <c r="K23" s="6">
        <f t="shared" si="1"/>
        <v>101.983</v>
      </c>
      <c r="L23" s="5" t="s">
        <v>18</v>
      </c>
      <c r="M23" s="31">
        <f t="shared" si="2"/>
        <v>119.98</v>
      </c>
      <c r="N23" s="33">
        <f t="shared" si="3"/>
        <v>59.99</v>
      </c>
      <c r="O23" s="31" t="str">
        <f t="shared" si="4"/>
        <v>February</v>
      </c>
      <c r="P23" s="33">
        <f t="shared" si="5"/>
        <v>-41.993000000000002</v>
      </c>
      <c r="Q23" s="33">
        <f t="shared" si="6"/>
        <v>0.58823529411764708</v>
      </c>
      <c r="R23" s="33">
        <f t="shared" si="7"/>
        <v>50.991500000000002</v>
      </c>
      <c r="S23" s="33" t="str">
        <f t="shared" si="8"/>
        <v>Small</v>
      </c>
      <c r="T23" s="33" t="str">
        <f t="shared" si="9"/>
        <v>High</v>
      </c>
    </row>
    <row r="24" spans="1:20" x14ac:dyDescent="0.3">
      <c r="A24" s="2" t="s">
        <v>83</v>
      </c>
      <c r="B24" s="2" t="s">
        <v>84</v>
      </c>
      <c r="C24" s="2" t="s">
        <v>14</v>
      </c>
      <c r="D24" s="2" t="s">
        <v>15</v>
      </c>
      <c r="E24" s="2" t="s">
        <v>64</v>
      </c>
      <c r="F24" s="2" t="s">
        <v>24</v>
      </c>
      <c r="G24" s="2">
        <v>5</v>
      </c>
      <c r="H24" s="3">
        <v>1299</v>
      </c>
      <c r="I24" s="3">
        <f t="shared" si="0"/>
        <v>6495</v>
      </c>
      <c r="J24" s="4">
        <v>12</v>
      </c>
      <c r="K24" s="3">
        <f t="shared" si="1"/>
        <v>5715.6</v>
      </c>
      <c r="L24" s="2" t="s">
        <v>18</v>
      </c>
      <c r="M24" s="31">
        <f t="shared" si="2"/>
        <v>6495</v>
      </c>
      <c r="N24" s="33">
        <f t="shared" si="3"/>
        <v>5196</v>
      </c>
      <c r="O24" s="31" t="str">
        <f t="shared" si="4"/>
        <v>February</v>
      </c>
      <c r="P24" s="33">
        <f t="shared" si="5"/>
        <v>-4416.6000000000004</v>
      </c>
      <c r="Q24" s="33">
        <f t="shared" si="6"/>
        <v>0.90909090909090906</v>
      </c>
      <c r="R24" s="33">
        <f t="shared" si="7"/>
        <v>1143.1200000000001</v>
      </c>
      <c r="S24" s="33" t="str">
        <f t="shared" si="8"/>
        <v>Small</v>
      </c>
      <c r="T24" s="33" t="str">
        <f t="shared" si="9"/>
        <v>Low</v>
      </c>
    </row>
    <row r="25" spans="1:20" x14ac:dyDescent="0.3">
      <c r="A25" s="5" t="s">
        <v>85</v>
      </c>
      <c r="B25" s="5" t="s">
        <v>86</v>
      </c>
      <c r="C25" s="5" t="s">
        <v>55</v>
      </c>
      <c r="D25" s="5" t="s">
        <v>38</v>
      </c>
      <c r="E25" s="5" t="s">
        <v>87</v>
      </c>
      <c r="F25" s="5" t="s">
        <v>61</v>
      </c>
      <c r="G25" s="5">
        <v>29</v>
      </c>
      <c r="H25" s="6">
        <v>299</v>
      </c>
      <c r="I25" s="6">
        <f t="shared" si="0"/>
        <v>8671</v>
      </c>
      <c r="J25" s="7">
        <v>0</v>
      </c>
      <c r="K25" s="6">
        <f t="shared" si="1"/>
        <v>8671</v>
      </c>
      <c r="L25" s="5" t="s">
        <v>18</v>
      </c>
      <c r="M25" s="31">
        <f t="shared" si="2"/>
        <v>8671</v>
      </c>
      <c r="N25" s="33">
        <f t="shared" si="3"/>
        <v>8372</v>
      </c>
      <c r="O25" s="31" t="str">
        <f t="shared" si="4"/>
        <v>February</v>
      </c>
      <c r="P25" s="33">
        <f t="shared" si="5"/>
        <v>-8372</v>
      </c>
      <c r="Q25" s="33">
        <f t="shared" si="6"/>
        <v>0.96551724137931039</v>
      </c>
      <c r="R25" s="33">
        <f t="shared" si="7"/>
        <v>299</v>
      </c>
      <c r="S25" s="33" t="str">
        <f t="shared" si="8"/>
        <v>Large</v>
      </c>
      <c r="T25" s="33" t="str">
        <f t="shared" si="9"/>
        <v>High</v>
      </c>
    </row>
    <row r="26" spans="1:20" x14ac:dyDescent="0.3">
      <c r="A26" s="2" t="s">
        <v>88</v>
      </c>
      <c r="B26" s="2" t="s">
        <v>89</v>
      </c>
      <c r="C26" s="2" t="s">
        <v>80</v>
      </c>
      <c r="D26" s="2" t="s">
        <v>22</v>
      </c>
      <c r="E26" s="2" t="s">
        <v>90</v>
      </c>
      <c r="F26" s="2" t="s">
        <v>24</v>
      </c>
      <c r="G26" s="2">
        <v>14</v>
      </c>
      <c r="H26" s="3">
        <v>149.99</v>
      </c>
      <c r="I26" s="3">
        <f t="shared" si="0"/>
        <v>2099.86</v>
      </c>
      <c r="J26" s="4">
        <v>0</v>
      </c>
      <c r="K26" s="3">
        <f t="shared" si="1"/>
        <v>2099.86</v>
      </c>
      <c r="L26" s="2" t="s">
        <v>18</v>
      </c>
      <c r="M26" s="31">
        <f t="shared" si="2"/>
        <v>2099.86</v>
      </c>
      <c r="N26" s="33">
        <f t="shared" si="3"/>
        <v>1949.8700000000001</v>
      </c>
      <c r="O26" s="31" t="str">
        <f t="shared" si="4"/>
        <v>February</v>
      </c>
      <c r="P26" s="33">
        <f t="shared" si="5"/>
        <v>-1949.8700000000001</v>
      </c>
      <c r="Q26" s="33">
        <f t="shared" si="6"/>
        <v>0.9285714285714286</v>
      </c>
      <c r="R26" s="33">
        <f t="shared" si="7"/>
        <v>149.99</v>
      </c>
      <c r="S26" s="33" t="str">
        <f t="shared" si="8"/>
        <v>Large</v>
      </c>
      <c r="T26" s="33" t="str">
        <f t="shared" si="9"/>
        <v>High</v>
      </c>
    </row>
    <row r="27" spans="1:20" x14ac:dyDescent="0.3">
      <c r="A27" s="5" t="s">
        <v>91</v>
      </c>
      <c r="B27" s="5" t="s">
        <v>92</v>
      </c>
      <c r="C27" s="5" t="s">
        <v>21</v>
      </c>
      <c r="D27" s="5" t="s">
        <v>22</v>
      </c>
      <c r="E27" s="5" t="s">
        <v>93</v>
      </c>
      <c r="F27" s="5" t="s">
        <v>24</v>
      </c>
      <c r="G27" s="5">
        <v>5</v>
      </c>
      <c r="H27" s="6">
        <v>599</v>
      </c>
      <c r="I27" s="6">
        <f t="shared" si="0"/>
        <v>2995</v>
      </c>
      <c r="J27" s="7">
        <v>0</v>
      </c>
      <c r="K27" s="6">
        <f t="shared" si="1"/>
        <v>2995</v>
      </c>
      <c r="L27" s="5" t="s">
        <v>18</v>
      </c>
      <c r="M27" s="31">
        <f t="shared" si="2"/>
        <v>2995</v>
      </c>
      <c r="N27" s="33">
        <f t="shared" si="3"/>
        <v>2396</v>
      </c>
      <c r="O27" s="31" t="str">
        <f t="shared" si="4"/>
        <v>February</v>
      </c>
      <c r="P27" s="33">
        <f t="shared" si="5"/>
        <v>-2396</v>
      </c>
      <c r="Q27" s="33">
        <f t="shared" si="6"/>
        <v>0.8</v>
      </c>
      <c r="R27" s="33">
        <f t="shared" si="7"/>
        <v>599</v>
      </c>
      <c r="S27" s="33" t="str">
        <f t="shared" si="8"/>
        <v>Small</v>
      </c>
      <c r="T27" s="33" t="str">
        <f t="shared" si="9"/>
        <v>High</v>
      </c>
    </row>
    <row r="28" spans="1:20" x14ac:dyDescent="0.3">
      <c r="A28" s="2" t="s">
        <v>94</v>
      </c>
      <c r="B28" s="2" t="s">
        <v>92</v>
      </c>
      <c r="C28" s="2" t="s">
        <v>55</v>
      </c>
      <c r="D28" s="2" t="s">
        <v>38</v>
      </c>
      <c r="E28" s="2" t="s">
        <v>74</v>
      </c>
      <c r="F28" s="2" t="s">
        <v>30</v>
      </c>
      <c r="G28" s="2">
        <v>15</v>
      </c>
      <c r="H28" s="3">
        <v>49.99</v>
      </c>
      <c r="I28" s="3">
        <f t="shared" si="0"/>
        <v>749.85</v>
      </c>
      <c r="J28" s="4">
        <v>12</v>
      </c>
      <c r="K28" s="3">
        <f t="shared" si="1"/>
        <v>659.86800000000005</v>
      </c>
      <c r="L28" s="2" t="s">
        <v>18</v>
      </c>
      <c r="M28" s="31">
        <f t="shared" si="2"/>
        <v>749.85</v>
      </c>
      <c r="N28" s="33">
        <f t="shared" si="3"/>
        <v>699.86</v>
      </c>
      <c r="O28" s="31" t="str">
        <f t="shared" si="4"/>
        <v>February</v>
      </c>
      <c r="P28" s="33">
        <f t="shared" si="5"/>
        <v>-609.87800000000004</v>
      </c>
      <c r="Q28" s="33">
        <f t="shared" si="6"/>
        <v>1.0606060606060606</v>
      </c>
      <c r="R28" s="33">
        <f t="shared" si="7"/>
        <v>43.991200000000006</v>
      </c>
      <c r="S28" s="33" t="str">
        <f t="shared" si="8"/>
        <v>Large</v>
      </c>
      <c r="T28" s="33" t="str">
        <f t="shared" si="9"/>
        <v>High</v>
      </c>
    </row>
    <row r="29" spans="1:20" x14ac:dyDescent="0.3">
      <c r="A29" s="8" t="s">
        <v>95</v>
      </c>
      <c r="B29" s="8" t="s">
        <v>92</v>
      </c>
      <c r="C29" s="8" t="s">
        <v>37</v>
      </c>
      <c r="D29" s="8" t="s">
        <v>38</v>
      </c>
      <c r="E29" s="8" t="s">
        <v>93</v>
      </c>
      <c r="F29" s="8" t="s">
        <v>24</v>
      </c>
      <c r="G29" s="8">
        <v>17</v>
      </c>
      <c r="H29" s="9">
        <v>599</v>
      </c>
      <c r="I29" s="9">
        <f t="shared" si="0"/>
        <v>10183</v>
      </c>
      <c r="J29" s="10">
        <v>15</v>
      </c>
      <c r="K29" s="9">
        <f t="shared" si="1"/>
        <v>8655.5499999999993</v>
      </c>
      <c r="L29" s="8" t="s">
        <v>72</v>
      </c>
      <c r="M29" s="31">
        <f t="shared" si="2"/>
        <v>10183</v>
      </c>
      <c r="N29" s="33">
        <f t="shared" si="3"/>
        <v>9584</v>
      </c>
      <c r="O29" s="31" t="str">
        <f t="shared" si="4"/>
        <v>February</v>
      </c>
      <c r="P29" s="33">
        <f t="shared" si="5"/>
        <v>-8056.5499999999993</v>
      </c>
      <c r="Q29" s="33">
        <f t="shared" si="6"/>
        <v>1.1072664359861593</v>
      </c>
      <c r="R29" s="33">
        <f t="shared" si="7"/>
        <v>509.15</v>
      </c>
      <c r="S29" s="33" t="str">
        <f t="shared" si="8"/>
        <v>Large</v>
      </c>
      <c r="T29" s="33" t="str">
        <f t="shared" si="9"/>
        <v>Low</v>
      </c>
    </row>
    <row r="30" spans="1:20" x14ac:dyDescent="0.3">
      <c r="A30" s="2" t="s">
        <v>96</v>
      </c>
      <c r="B30" s="2" t="s">
        <v>92</v>
      </c>
      <c r="C30" s="2" t="s">
        <v>41</v>
      </c>
      <c r="D30" s="2" t="s">
        <v>15</v>
      </c>
      <c r="E30" s="2" t="s">
        <v>90</v>
      </c>
      <c r="F30" s="2" t="s">
        <v>24</v>
      </c>
      <c r="G30" s="2">
        <v>30</v>
      </c>
      <c r="H30" s="3">
        <v>149.99</v>
      </c>
      <c r="I30" s="3">
        <f t="shared" si="0"/>
        <v>4499.7000000000007</v>
      </c>
      <c r="J30" s="4">
        <v>5</v>
      </c>
      <c r="K30" s="3">
        <f t="shared" si="1"/>
        <v>4274.7150000000001</v>
      </c>
      <c r="L30" s="2" t="s">
        <v>18</v>
      </c>
      <c r="M30" s="31">
        <f t="shared" si="2"/>
        <v>4499.7000000000007</v>
      </c>
      <c r="N30" s="33">
        <f t="shared" si="3"/>
        <v>4349.7100000000009</v>
      </c>
      <c r="O30" s="31" t="str">
        <f t="shared" si="4"/>
        <v>February</v>
      </c>
      <c r="P30" s="33">
        <f t="shared" si="5"/>
        <v>-4124.7250000000004</v>
      </c>
      <c r="Q30" s="33">
        <f t="shared" si="6"/>
        <v>1.0175438596491231</v>
      </c>
      <c r="R30" s="33">
        <f t="shared" si="7"/>
        <v>142.4905</v>
      </c>
      <c r="S30" s="33" t="str">
        <f t="shared" si="8"/>
        <v>Large</v>
      </c>
      <c r="T30" s="33" t="str">
        <f t="shared" si="9"/>
        <v>High</v>
      </c>
    </row>
    <row r="31" spans="1:20" x14ac:dyDescent="0.3">
      <c r="A31" s="5" t="s">
        <v>97</v>
      </c>
      <c r="B31" s="5" t="s">
        <v>98</v>
      </c>
      <c r="C31" s="5" t="s">
        <v>55</v>
      </c>
      <c r="D31" s="5" t="s">
        <v>38</v>
      </c>
      <c r="E31" s="5" t="s">
        <v>99</v>
      </c>
      <c r="F31" s="5" t="s">
        <v>30</v>
      </c>
      <c r="G31" s="5">
        <v>6</v>
      </c>
      <c r="H31" s="6">
        <v>89.99</v>
      </c>
      <c r="I31" s="6">
        <f t="shared" si="0"/>
        <v>539.93999999999994</v>
      </c>
      <c r="J31" s="7">
        <v>5</v>
      </c>
      <c r="K31" s="6">
        <f t="shared" si="1"/>
        <v>512.94299999999987</v>
      </c>
      <c r="L31" s="5" t="s">
        <v>18</v>
      </c>
      <c r="M31" s="31">
        <f t="shared" si="2"/>
        <v>539.93999999999994</v>
      </c>
      <c r="N31" s="33">
        <f t="shared" si="3"/>
        <v>449.94999999999993</v>
      </c>
      <c r="O31" s="31" t="str">
        <f t="shared" si="4"/>
        <v>February</v>
      </c>
      <c r="P31" s="33">
        <f t="shared" si="5"/>
        <v>-422.95299999999986</v>
      </c>
      <c r="Q31" s="33">
        <f t="shared" si="6"/>
        <v>0.87719298245614041</v>
      </c>
      <c r="R31" s="33">
        <f t="shared" si="7"/>
        <v>85.490499999999983</v>
      </c>
      <c r="S31" s="33" t="str">
        <f t="shared" si="8"/>
        <v>Small</v>
      </c>
      <c r="T31" s="33" t="str">
        <f t="shared" si="9"/>
        <v>High</v>
      </c>
    </row>
    <row r="32" spans="1:20" x14ac:dyDescent="0.3">
      <c r="A32" s="2" t="s">
        <v>100</v>
      </c>
      <c r="B32" s="2" t="s">
        <v>101</v>
      </c>
      <c r="C32" s="2" t="s">
        <v>37</v>
      </c>
      <c r="D32" s="2" t="s">
        <v>38</v>
      </c>
      <c r="E32" s="2" t="s">
        <v>77</v>
      </c>
      <c r="F32" s="2" t="s">
        <v>61</v>
      </c>
      <c r="G32" s="2">
        <v>20</v>
      </c>
      <c r="H32" s="3">
        <v>149</v>
      </c>
      <c r="I32" s="3">
        <f t="shared" si="0"/>
        <v>2980</v>
      </c>
      <c r="J32" s="4">
        <v>0</v>
      </c>
      <c r="K32" s="3">
        <f t="shared" si="1"/>
        <v>2980</v>
      </c>
      <c r="L32" s="2" t="s">
        <v>18</v>
      </c>
      <c r="M32" s="31">
        <f t="shared" si="2"/>
        <v>2980</v>
      </c>
      <c r="N32" s="33">
        <f t="shared" si="3"/>
        <v>2831</v>
      </c>
      <c r="O32" s="31" t="str">
        <f t="shared" si="4"/>
        <v>February</v>
      </c>
      <c r="P32" s="33">
        <f t="shared" si="5"/>
        <v>-2831</v>
      </c>
      <c r="Q32" s="33">
        <f t="shared" si="6"/>
        <v>0.95</v>
      </c>
      <c r="R32" s="33">
        <f t="shared" si="7"/>
        <v>149</v>
      </c>
      <c r="S32" s="33" t="str">
        <f t="shared" si="8"/>
        <v>Large</v>
      </c>
      <c r="T32" s="33" t="str">
        <f t="shared" si="9"/>
        <v>Low</v>
      </c>
    </row>
    <row r="33" spans="1:20" x14ac:dyDescent="0.3">
      <c r="A33" s="5" t="s">
        <v>102</v>
      </c>
      <c r="B33" s="5" t="s">
        <v>101</v>
      </c>
      <c r="C33" s="5" t="s">
        <v>49</v>
      </c>
      <c r="D33" s="5" t="s">
        <v>38</v>
      </c>
      <c r="E33" s="5" t="s">
        <v>103</v>
      </c>
      <c r="F33" s="5" t="s">
        <v>61</v>
      </c>
      <c r="G33" s="5">
        <v>29</v>
      </c>
      <c r="H33" s="6">
        <v>99</v>
      </c>
      <c r="I33" s="6">
        <f t="shared" si="0"/>
        <v>2871</v>
      </c>
      <c r="J33" s="7">
        <v>8</v>
      </c>
      <c r="K33" s="6">
        <f t="shared" si="1"/>
        <v>2641.32</v>
      </c>
      <c r="L33" s="5" t="s">
        <v>18</v>
      </c>
      <c r="M33" s="31">
        <f t="shared" si="2"/>
        <v>2871</v>
      </c>
      <c r="N33" s="33">
        <f t="shared" si="3"/>
        <v>2772</v>
      </c>
      <c r="O33" s="31" t="str">
        <f t="shared" si="4"/>
        <v>February</v>
      </c>
      <c r="P33" s="33">
        <f t="shared" si="5"/>
        <v>-2542.3200000000002</v>
      </c>
      <c r="Q33" s="33">
        <f t="shared" si="6"/>
        <v>1.0494752623688155</v>
      </c>
      <c r="R33" s="33">
        <f t="shared" si="7"/>
        <v>91.080000000000013</v>
      </c>
      <c r="S33" s="33" t="str">
        <f t="shared" si="8"/>
        <v>Large</v>
      </c>
      <c r="T33" s="33" t="str">
        <f t="shared" si="9"/>
        <v>High</v>
      </c>
    </row>
    <row r="34" spans="1:20" x14ac:dyDescent="0.3">
      <c r="A34" s="2" t="s">
        <v>104</v>
      </c>
      <c r="B34" s="2" t="s">
        <v>105</v>
      </c>
      <c r="C34" s="2" t="s">
        <v>52</v>
      </c>
      <c r="D34" s="2" t="s">
        <v>33</v>
      </c>
      <c r="E34" s="2" t="s">
        <v>106</v>
      </c>
      <c r="F34" s="2" t="s">
        <v>17</v>
      </c>
      <c r="G34" s="2">
        <v>28</v>
      </c>
      <c r="H34" s="3">
        <v>199</v>
      </c>
      <c r="I34" s="3">
        <f t="shared" si="0"/>
        <v>5572</v>
      </c>
      <c r="J34" s="4">
        <v>0</v>
      </c>
      <c r="K34" s="3">
        <f t="shared" si="1"/>
        <v>5572</v>
      </c>
      <c r="L34" s="2" t="s">
        <v>18</v>
      </c>
      <c r="M34" s="31">
        <f t="shared" si="2"/>
        <v>5572</v>
      </c>
      <c r="N34" s="33">
        <f t="shared" si="3"/>
        <v>5373</v>
      </c>
      <c r="O34" s="31" t="str">
        <f t="shared" si="4"/>
        <v>February</v>
      </c>
      <c r="P34" s="33">
        <f t="shared" si="5"/>
        <v>-5373</v>
      </c>
      <c r="Q34" s="33">
        <f t="shared" si="6"/>
        <v>0.9642857142857143</v>
      </c>
      <c r="R34" s="33">
        <f t="shared" si="7"/>
        <v>199</v>
      </c>
      <c r="S34" s="33" t="str">
        <f t="shared" si="8"/>
        <v>Large</v>
      </c>
      <c r="T34" s="33" t="str">
        <f t="shared" si="9"/>
        <v>High</v>
      </c>
    </row>
    <row r="35" spans="1:20" x14ac:dyDescent="0.3">
      <c r="A35" s="8" t="s">
        <v>107</v>
      </c>
      <c r="B35" s="8" t="s">
        <v>108</v>
      </c>
      <c r="C35" s="8" t="s">
        <v>28</v>
      </c>
      <c r="D35" s="8" t="s">
        <v>22</v>
      </c>
      <c r="E35" s="8" t="s">
        <v>64</v>
      </c>
      <c r="F35" s="8" t="s">
        <v>24</v>
      </c>
      <c r="G35" s="8">
        <v>13</v>
      </c>
      <c r="H35" s="9">
        <v>1299</v>
      </c>
      <c r="I35" s="9">
        <f t="shared" si="0"/>
        <v>16887</v>
      </c>
      <c r="J35" s="10">
        <v>12</v>
      </c>
      <c r="K35" s="9">
        <f t="shared" si="1"/>
        <v>14860.56</v>
      </c>
      <c r="L35" s="8" t="s">
        <v>72</v>
      </c>
      <c r="M35" s="31">
        <f t="shared" si="2"/>
        <v>16887</v>
      </c>
      <c r="N35" s="33">
        <f t="shared" si="3"/>
        <v>15588</v>
      </c>
      <c r="O35" s="31" t="str">
        <f t="shared" si="4"/>
        <v>February</v>
      </c>
      <c r="P35" s="33">
        <f t="shared" si="5"/>
        <v>-13561.56</v>
      </c>
      <c r="Q35" s="33">
        <f t="shared" si="6"/>
        <v>1.048951048951049</v>
      </c>
      <c r="R35" s="33">
        <f t="shared" si="7"/>
        <v>1143.1199999999999</v>
      </c>
      <c r="S35" s="33" t="str">
        <f t="shared" si="8"/>
        <v>Large</v>
      </c>
      <c r="T35" s="33" t="str">
        <f t="shared" si="9"/>
        <v>High</v>
      </c>
    </row>
    <row r="36" spans="1:20" x14ac:dyDescent="0.3">
      <c r="A36" s="2" t="s">
        <v>109</v>
      </c>
      <c r="B36" s="2" t="s">
        <v>108</v>
      </c>
      <c r="C36" s="2" t="s">
        <v>41</v>
      </c>
      <c r="D36" s="2" t="s">
        <v>15</v>
      </c>
      <c r="E36" s="2" t="s">
        <v>23</v>
      </c>
      <c r="F36" s="2" t="s">
        <v>24</v>
      </c>
      <c r="G36" s="2">
        <v>10</v>
      </c>
      <c r="H36" s="3">
        <v>999</v>
      </c>
      <c r="I36" s="3">
        <f t="shared" si="0"/>
        <v>9990</v>
      </c>
      <c r="J36" s="4">
        <v>5</v>
      </c>
      <c r="K36" s="3">
        <f t="shared" si="1"/>
        <v>9490.5</v>
      </c>
      <c r="L36" s="2" t="s">
        <v>18</v>
      </c>
      <c r="M36" s="31">
        <f t="shared" si="2"/>
        <v>9990</v>
      </c>
      <c r="N36" s="33">
        <f t="shared" si="3"/>
        <v>8991</v>
      </c>
      <c r="O36" s="31" t="str">
        <f t="shared" si="4"/>
        <v>February</v>
      </c>
      <c r="P36" s="33">
        <f t="shared" si="5"/>
        <v>-8491.5</v>
      </c>
      <c r="Q36" s="33">
        <f t="shared" si="6"/>
        <v>0.94736842105263153</v>
      </c>
      <c r="R36" s="33">
        <f t="shared" si="7"/>
        <v>949.05</v>
      </c>
      <c r="S36" s="33" t="str">
        <f t="shared" si="8"/>
        <v>Large</v>
      </c>
      <c r="T36" s="33" t="str">
        <f t="shared" si="9"/>
        <v>High</v>
      </c>
    </row>
    <row r="37" spans="1:20" x14ac:dyDescent="0.3">
      <c r="A37" s="5" t="s">
        <v>110</v>
      </c>
      <c r="B37" s="5" t="s">
        <v>111</v>
      </c>
      <c r="C37" s="5" t="s">
        <v>52</v>
      </c>
      <c r="D37" s="5" t="s">
        <v>33</v>
      </c>
      <c r="E37" s="5" t="s">
        <v>60</v>
      </c>
      <c r="F37" s="5" t="s">
        <v>61</v>
      </c>
      <c r="G37" s="5">
        <v>13</v>
      </c>
      <c r="H37" s="6">
        <v>49.99</v>
      </c>
      <c r="I37" s="6">
        <f t="shared" si="0"/>
        <v>649.87</v>
      </c>
      <c r="J37" s="7">
        <v>8</v>
      </c>
      <c r="K37" s="6">
        <f t="shared" si="1"/>
        <v>597.88040000000001</v>
      </c>
      <c r="L37" s="5" t="s">
        <v>18</v>
      </c>
      <c r="M37" s="31">
        <f t="shared" si="2"/>
        <v>649.87</v>
      </c>
      <c r="N37" s="33">
        <f t="shared" si="3"/>
        <v>599.88</v>
      </c>
      <c r="O37" s="31" t="str">
        <f t="shared" si="4"/>
        <v>February</v>
      </c>
      <c r="P37" s="33">
        <f t="shared" si="5"/>
        <v>-547.8904</v>
      </c>
      <c r="Q37" s="33">
        <f t="shared" si="6"/>
        <v>1.0033444816053512</v>
      </c>
      <c r="R37" s="33">
        <f t="shared" si="7"/>
        <v>45.9908</v>
      </c>
      <c r="S37" s="33" t="str">
        <f t="shared" si="8"/>
        <v>Large</v>
      </c>
      <c r="T37" s="33" t="str">
        <f t="shared" si="9"/>
        <v>High</v>
      </c>
    </row>
    <row r="38" spans="1:20" x14ac:dyDescent="0.3">
      <c r="A38" s="2" t="s">
        <v>112</v>
      </c>
      <c r="B38" s="2" t="s">
        <v>113</v>
      </c>
      <c r="C38" s="2" t="s">
        <v>37</v>
      </c>
      <c r="D38" s="2" t="s">
        <v>38</v>
      </c>
      <c r="E38" s="2" t="s">
        <v>29</v>
      </c>
      <c r="F38" s="2" t="s">
        <v>30</v>
      </c>
      <c r="G38" s="2">
        <v>10</v>
      </c>
      <c r="H38" s="3">
        <v>29.99</v>
      </c>
      <c r="I38" s="3">
        <f t="shared" si="0"/>
        <v>299.89999999999998</v>
      </c>
      <c r="J38" s="4">
        <v>0</v>
      </c>
      <c r="K38" s="3">
        <f t="shared" si="1"/>
        <v>299.89999999999998</v>
      </c>
      <c r="L38" s="2" t="s">
        <v>18</v>
      </c>
      <c r="M38" s="31">
        <f t="shared" si="2"/>
        <v>299.89999999999998</v>
      </c>
      <c r="N38" s="33">
        <f t="shared" si="3"/>
        <v>269.90999999999997</v>
      </c>
      <c r="O38" s="31" t="str">
        <f t="shared" si="4"/>
        <v>February</v>
      </c>
      <c r="P38" s="33">
        <f t="shared" si="5"/>
        <v>-269.90999999999997</v>
      </c>
      <c r="Q38" s="33">
        <f t="shared" si="6"/>
        <v>0.89999999999999991</v>
      </c>
      <c r="R38" s="33">
        <f t="shared" si="7"/>
        <v>29.99</v>
      </c>
      <c r="S38" s="33" t="str">
        <f t="shared" si="8"/>
        <v>Large</v>
      </c>
      <c r="T38" s="33" t="str">
        <f t="shared" si="9"/>
        <v>Low</v>
      </c>
    </row>
    <row r="39" spans="1:20" x14ac:dyDescent="0.3">
      <c r="A39" s="5" t="s">
        <v>114</v>
      </c>
      <c r="B39" s="5" t="s">
        <v>115</v>
      </c>
      <c r="C39" s="5" t="s">
        <v>32</v>
      </c>
      <c r="D39" s="5" t="s">
        <v>33</v>
      </c>
      <c r="E39" s="5" t="s">
        <v>82</v>
      </c>
      <c r="F39" s="5" t="s">
        <v>61</v>
      </c>
      <c r="G39" s="5">
        <v>21</v>
      </c>
      <c r="H39" s="6">
        <v>59.99</v>
      </c>
      <c r="I39" s="6">
        <f t="shared" si="0"/>
        <v>1259.79</v>
      </c>
      <c r="J39" s="7">
        <v>0</v>
      </c>
      <c r="K39" s="6">
        <f t="shared" si="1"/>
        <v>1259.79</v>
      </c>
      <c r="L39" s="5" t="s">
        <v>18</v>
      </c>
      <c r="M39" s="31">
        <f t="shared" si="2"/>
        <v>1259.79</v>
      </c>
      <c r="N39" s="33">
        <f t="shared" si="3"/>
        <v>1199.8</v>
      </c>
      <c r="O39" s="31" t="str">
        <f t="shared" si="4"/>
        <v>February</v>
      </c>
      <c r="P39" s="33">
        <f t="shared" si="5"/>
        <v>-1199.8</v>
      </c>
      <c r="Q39" s="33">
        <f t="shared" si="6"/>
        <v>0.95238095238095233</v>
      </c>
      <c r="R39" s="33">
        <f t="shared" si="7"/>
        <v>59.989999999999995</v>
      </c>
      <c r="S39" s="33" t="str">
        <f t="shared" si="8"/>
        <v>Large</v>
      </c>
      <c r="T39" s="33" t="str">
        <f t="shared" si="9"/>
        <v>Low</v>
      </c>
    </row>
    <row r="40" spans="1:20" x14ac:dyDescent="0.3">
      <c r="A40" s="2" t="s">
        <v>116</v>
      </c>
      <c r="B40" s="2" t="s">
        <v>117</v>
      </c>
      <c r="C40" s="2" t="s">
        <v>55</v>
      </c>
      <c r="D40" s="2" t="s">
        <v>38</v>
      </c>
      <c r="E40" s="2" t="s">
        <v>66</v>
      </c>
      <c r="F40" s="2" t="s">
        <v>17</v>
      </c>
      <c r="G40" s="2">
        <v>12</v>
      </c>
      <c r="H40" s="3">
        <v>549</v>
      </c>
      <c r="I40" s="3">
        <f t="shared" si="0"/>
        <v>6588</v>
      </c>
      <c r="J40" s="4">
        <v>10</v>
      </c>
      <c r="K40" s="3">
        <f t="shared" si="1"/>
        <v>5929.2</v>
      </c>
      <c r="L40" s="2" t="s">
        <v>18</v>
      </c>
      <c r="M40" s="31">
        <f t="shared" si="2"/>
        <v>6588</v>
      </c>
      <c r="N40" s="33">
        <f t="shared" si="3"/>
        <v>6039</v>
      </c>
      <c r="O40" s="31" t="str">
        <f t="shared" si="4"/>
        <v>February</v>
      </c>
      <c r="P40" s="33">
        <f t="shared" si="5"/>
        <v>-5380.2</v>
      </c>
      <c r="Q40" s="33">
        <f t="shared" si="6"/>
        <v>1.0185185185185186</v>
      </c>
      <c r="R40" s="33">
        <f t="shared" si="7"/>
        <v>494.09999999999997</v>
      </c>
      <c r="S40" s="33" t="str">
        <f t="shared" si="8"/>
        <v>Large</v>
      </c>
      <c r="T40" s="33" t="str">
        <f t="shared" si="9"/>
        <v>High</v>
      </c>
    </row>
    <row r="41" spans="1:20" x14ac:dyDescent="0.3">
      <c r="A41" s="5" t="s">
        <v>118</v>
      </c>
      <c r="B41" s="5" t="s">
        <v>117</v>
      </c>
      <c r="C41" s="5" t="s">
        <v>41</v>
      </c>
      <c r="D41" s="5" t="s">
        <v>15</v>
      </c>
      <c r="E41" s="5" t="s">
        <v>99</v>
      </c>
      <c r="F41" s="5" t="s">
        <v>30</v>
      </c>
      <c r="G41" s="5">
        <v>21</v>
      </c>
      <c r="H41" s="6">
        <v>89.99</v>
      </c>
      <c r="I41" s="6">
        <f t="shared" si="0"/>
        <v>1889.79</v>
      </c>
      <c r="J41" s="7">
        <v>5</v>
      </c>
      <c r="K41" s="6">
        <f t="shared" si="1"/>
        <v>1795.3004999999998</v>
      </c>
      <c r="L41" s="5" t="s">
        <v>18</v>
      </c>
      <c r="M41" s="31">
        <f t="shared" si="2"/>
        <v>1889.79</v>
      </c>
      <c r="N41" s="33">
        <f t="shared" si="3"/>
        <v>1799.8</v>
      </c>
      <c r="O41" s="31" t="str">
        <f t="shared" si="4"/>
        <v>February</v>
      </c>
      <c r="P41" s="33">
        <f t="shared" si="5"/>
        <v>-1705.3104999999998</v>
      </c>
      <c r="Q41" s="33">
        <f t="shared" si="6"/>
        <v>1.0025062656641606</v>
      </c>
      <c r="R41" s="33">
        <f t="shared" si="7"/>
        <v>85.490499999999997</v>
      </c>
      <c r="S41" s="33" t="str">
        <f t="shared" si="8"/>
        <v>Large</v>
      </c>
      <c r="T41" s="33" t="str">
        <f t="shared" si="9"/>
        <v>High</v>
      </c>
    </row>
    <row r="42" spans="1:20" x14ac:dyDescent="0.3">
      <c r="A42" s="2" t="s">
        <v>119</v>
      </c>
      <c r="B42" s="2" t="s">
        <v>117</v>
      </c>
      <c r="C42" s="2" t="s">
        <v>52</v>
      </c>
      <c r="D42" s="2" t="s">
        <v>33</v>
      </c>
      <c r="E42" s="2" t="s">
        <v>43</v>
      </c>
      <c r="F42" s="2" t="s">
        <v>24</v>
      </c>
      <c r="G42" s="2">
        <v>18</v>
      </c>
      <c r="H42" s="3">
        <v>399</v>
      </c>
      <c r="I42" s="3">
        <f t="shared" si="0"/>
        <v>7182</v>
      </c>
      <c r="J42" s="4">
        <v>5</v>
      </c>
      <c r="K42" s="3">
        <f t="shared" si="1"/>
        <v>6822.9</v>
      </c>
      <c r="L42" s="2" t="s">
        <v>18</v>
      </c>
      <c r="M42" s="31">
        <f t="shared" si="2"/>
        <v>7182</v>
      </c>
      <c r="N42" s="33">
        <f t="shared" si="3"/>
        <v>6783</v>
      </c>
      <c r="O42" s="31" t="str">
        <f t="shared" si="4"/>
        <v>February</v>
      </c>
      <c r="P42" s="33">
        <f t="shared" si="5"/>
        <v>-6423.9</v>
      </c>
      <c r="Q42" s="33">
        <f t="shared" si="6"/>
        <v>0.99415204678362579</v>
      </c>
      <c r="R42" s="33">
        <f t="shared" si="7"/>
        <v>379.04999999999995</v>
      </c>
      <c r="S42" s="33" t="str">
        <f t="shared" si="8"/>
        <v>Large</v>
      </c>
      <c r="T42" s="33" t="str">
        <f t="shared" si="9"/>
        <v>High</v>
      </c>
    </row>
    <row r="43" spans="1:20" x14ac:dyDescent="0.3">
      <c r="A43" s="5" t="s">
        <v>120</v>
      </c>
      <c r="B43" s="5" t="s">
        <v>121</v>
      </c>
      <c r="C43" s="5" t="s">
        <v>52</v>
      </c>
      <c r="D43" s="5" t="s">
        <v>33</v>
      </c>
      <c r="E43" s="5" t="s">
        <v>64</v>
      </c>
      <c r="F43" s="5" t="s">
        <v>24</v>
      </c>
      <c r="G43" s="5">
        <v>6</v>
      </c>
      <c r="H43" s="6">
        <v>1299</v>
      </c>
      <c r="I43" s="6">
        <f t="shared" si="0"/>
        <v>7794</v>
      </c>
      <c r="J43" s="7">
        <v>5</v>
      </c>
      <c r="K43" s="6">
        <f t="shared" si="1"/>
        <v>7404.2999999999993</v>
      </c>
      <c r="L43" s="5" t="s">
        <v>18</v>
      </c>
      <c r="M43" s="31">
        <f t="shared" si="2"/>
        <v>7794</v>
      </c>
      <c r="N43" s="33">
        <f t="shared" si="3"/>
        <v>6495</v>
      </c>
      <c r="O43" s="31" t="str">
        <f t="shared" si="4"/>
        <v>February</v>
      </c>
      <c r="P43" s="33">
        <f t="shared" si="5"/>
        <v>-6105.2999999999993</v>
      </c>
      <c r="Q43" s="33">
        <f t="shared" si="6"/>
        <v>0.87719298245614041</v>
      </c>
      <c r="R43" s="33">
        <f t="shared" si="7"/>
        <v>1234.05</v>
      </c>
      <c r="S43" s="33" t="str">
        <f t="shared" si="8"/>
        <v>Small</v>
      </c>
      <c r="T43" s="33" t="str">
        <f t="shared" si="9"/>
        <v>High</v>
      </c>
    </row>
    <row r="44" spans="1:20" x14ac:dyDescent="0.3">
      <c r="A44" s="11" t="s">
        <v>122</v>
      </c>
      <c r="B44" s="11" t="s">
        <v>121</v>
      </c>
      <c r="C44" s="11" t="s">
        <v>21</v>
      </c>
      <c r="D44" s="11" t="s">
        <v>22</v>
      </c>
      <c r="E44" s="11" t="s">
        <v>66</v>
      </c>
      <c r="F44" s="11" t="s">
        <v>17</v>
      </c>
      <c r="G44" s="11">
        <v>25</v>
      </c>
      <c r="H44" s="12">
        <v>549</v>
      </c>
      <c r="I44" s="12">
        <f t="shared" si="0"/>
        <v>13725</v>
      </c>
      <c r="J44" s="13">
        <v>8</v>
      </c>
      <c r="K44" s="12">
        <f t="shared" si="1"/>
        <v>12627</v>
      </c>
      <c r="L44" s="11" t="s">
        <v>72</v>
      </c>
      <c r="M44" s="31">
        <f t="shared" si="2"/>
        <v>13725</v>
      </c>
      <c r="N44" s="33">
        <f t="shared" si="3"/>
        <v>13176</v>
      </c>
      <c r="O44" s="31" t="str">
        <f t="shared" si="4"/>
        <v>February</v>
      </c>
      <c r="P44" s="33">
        <f t="shared" si="5"/>
        <v>-12078</v>
      </c>
      <c r="Q44" s="33">
        <f t="shared" si="6"/>
        <v>1.0434782608695652</v>
      </c>
      <c r="R44" s="33">
        <f t="shared" si="7"/>
        <v>505.08</v>
      </c>
      <c r="S44" s="33" t="str">
        <f t="shared" si="8"/>
        <v>Large</v>
      </c>
      <c r="T44" s="33" t="str">
        <f t="shared" si="9"/>
        <v>High</v>
      </c>
    </row>
    <row r="45" spans="1:20" x14ac:dyDescent="0.3">
      <c r="A45" s="5" t="s">
        <v>123</v>
      </c>
      <c r="B45" s="5" t="s">
        <v>121</v>
      </c>
      <c r="C45" s="5" t="s">
        <v>28</v>
      </c>
      <c r="D45" s="5" t="s">
        <v>22</v>
      </c>
      <c r="E45" s="5" t="s">
        <v>29</v>
      </c>
      <c r="F45" s="5" t="s">
        <v>30</v>
      </c>
      <c r="G45" s="5">
        <v>21</v>
      </c>
      <c r="H45" s="6">
        <v>29.99</v>
      </c>
      <c r="I45" s="6">
        <f t="shared" si="0"/>
        <v>629.79</v>
      </c>
      <c r="J45" s="7">
        <v>5</v>
      </c>
      <c r="K45" s="6">
        <f t="shared" si="1"/>
        <v>598.30049999999994</v>
      </c>
      <c r="L45" s="5" t="s">
        <v>18</v>
      </c>
      <c r="M45" s="31">
        <f t="shared" si="2"/>
        <v>629.79</v>
      </c>
      <c r="N45" s="33">
        <f t="shared" si="3"/>
        <v>599.79999999999995</v>
      </c>
      <c r="O45" s="31" t="str">
        <f t="shared" si="4"/>
        <v>February</v>
      </c>
      <c r="P45" s="33">
        <f t="shared" si="5"/>
        <v>-568.31049999999993</v>
      </c>
      <c r="Q45" s="33">
        <f t="shared" si="6"/>
        <v>1.0025062656641603</v>
      </c>
      <c r="R45" s="33">
        <f t="shared" si="7"/>
        <v>28.490499999999997</v>
      </c>
      <c r="S45" s="33" t="str">
        <f t="shared" si="8"/>
        <v>Large</v>
      </c>
      <c r="T45" s="33" t="str">
        <f t="shared" si="9"/>
        <v>High</v>
      </c>
    </row>
    <row r="46" spans="1:20" x14ac:dyDescent="0.3">
      <c r="A46" s="2" t="s">
        <v>124</v>
      </c>
      <c r="B46" s="2" t="s">
        <v>125</v>
      </c>
      <c r="C46" s="2" t="s">
        <v>55</v>
      </c>
      <c r="D46" s="2" t="s">
        <v>38</v>
      </c>
      <c r="E46" s="2" t="s">
        <v>34</v>
      </c>
      <c r="F46" s="2" t="s">
        <v>30</v>
      </c>
      <c r="G46" s="2">
        <v>16</v>
      </c>
      <c r="H46" s="3">
        <v>19.989999999999998</v>
      </c>
      <c r="I46" s="3">
        <f t="shared" si="0"/>
        <v>319.83999999999997</v>
      </c>
      <c r="J46" s="4">
        <v>0</v>
      </c>
      <c r="K46" s="3">
        <f t="shared" si="1"/>
        <v>319.83999999999997</v>
      </c>
      <c r="L46" s="2" t="s">
        <v>18</v>
      </c>
      <c r="M46" s="31">
        <f t="shared" si="2"/>
        <v>319.83999999999997</v>
      </c>
      <c r="N46" s="33">
        <f t="shared" si="3"/>
        <v>299.84999999999997</v>
      </c>
      <c r="O46" s="31" t="str">
        <f t="shared" si="4"/>
        <v>February</v>
      </c>
      <c r="P46" s="33">
        <f t="shared" si="5"/>
        <v>-299.84999999999997</v>
      </c>
      <c r="Q46" s="33">
        <f t="shared" si="6"/>
        <v>0.9375</v>
      </c>
      <c r="R46" s="33">
        <f t="shared" si="7"/>
        <v>19.989999999999998</v>
      </c>
      <c r="S46" s="33" t="str">
        <f t="shared" si="8"/>
        <v>Large</v>
      </c>
      <c r="T46" s="33" t="str">
        <f t="shared" si="9"/>
        <v>Low</v>
      </c>
    </row>
    <row r="47" spans="1:20" x14ac:dyDescent="0.3">
      <c r="A47" s="5" t="s">
        <v>126</v>
      </c>
      <c r="B47" s="5" t="s">
        <v>127</v>
      </c>
      <c r="C47" s="5" t="s">
        <v>28</v>
      </c>
      <c r="D47" s="5" t="s">
        <v>22</v>
      </c>
      <c r="E47" s="5" t="s">
        <v>29</v>
      </c>
      <c r="F47" s="5" t="s">
        <v>30</v>
      </c>
      <c r="G47" s="5">
        <v>22</v>
      </c>
      <c r="H47" s="6">
        <v>29.99</v>
      </c>
      <c r="I47" s="6">
        <f t="shared" si="0"/>
        <v>659.78</v>
      </c>
      <c r="J47" s="7">
        <v>8</v>
      </c>
      <c r="K47" s="6">
        <f t="shared" si="1"/>
        <v>606.99760000000003</v>
      </c>
      <c r="L47" s="5" t="s">
        <v>18</v>
      </c>
      <c r="M47" s="31">
        <f t="shared" si="2"/>
        <v>659.78</v>
      </c>
      <c r="N47" s="33">
        <f t="shared" si="3"/>
        <v>629.79</v>
      </c>
      <c r="O47" s="31" t="str">
        <f t="shared" si="4"/>
        <v>February</v>
      </c>
      <c r="P47" s="33">
        <f t="shared" si="5"/>
        <v>-577.00760000000002</v>
      </c>
      <c r="Q47" s="33">
        <f t="shared" si="6"/>
        <v>1.0375494071146243</v>
      </c>
      <c r="R47" s="33">
        <f t="shared" si="7"/>
        <v>27.590800000000002</v>
      </c>
      <c r="S47" s="33" t="str">
        <f t="shared" si="8"/>
        <v>Large</v>
      </c>
      <c r="T47" s="33" t="str">
        <f t="shared" si="9"/>
        <v>Low</v>
      </c>
    </row>
    <row r="48" spans="1:20" x14ac:dyDescent="0.3">
      <c r="A48" s="2" t="s">
        <v>128</v>
      </c>
      <c r="B48" s="2" t="s">
        <v>129</v>
      </c>
      <c r="C48" s="2" t="s">
        <v>21</v>
      </c>
      <c r="D48" s="2" t="s">
        <v>22</v>
      </c>
      <c r="E48" s="2" t="s">
        <v>74</v>
      </c>
      <c r="F48" s="2" t="s">
        <v>30</v>
      </c>
      <c r="G48" s="2">
        <v>15</v>
      </c>
      <c r="H48" s="3">
        <v>49.99</v>
      </c>
      <c r="I48" s="3">
        <f t="shared" si="0"/>
        <v>749.85</v>
      </c>
      <c r="J48" s="4">
        <v>0</v>
      </c>
      <c r="K48" s="3">
        <f t="shared" si="1"/>
        <v>749.85</v>
      </c>
      <c r="L48" s="2" t="s">
        <v>18</v>
      </c>
      <c r="M48" s="31">
        <f t="shared" si="2"/>
        <v>749.85</v>
      </c>
      <c r="N48" s="33">
        <f t="shared" si="3"/>
        <v>699.86</v>
      </c>
      <c r="O48" s="31" t="str">
        <f t="shared" si="4"/>
        <v>March</v>
      </c>
      <c r="P48" s="33">
        <f t="shared" si="5"/>
        <v>-699.86</v>
      </c>
      <c r="Q48" s="33">
        <f t="shared" si="6"/>
        <v>0.93333333333333335</v>
      </c>
      <c r="R48" s="33">
        <f t="shared" si="7"/>
        <v>49.99</v>
      </c>
      <c r="S48" s="33" t="str">
        <f t="shared" si="8"/>
        <v>Large</v>
      </c>
      <c r="T48" s="33" t="str">
        <f t="shared" si="9"/>
        <v>Low</v>
      </c>
    </row>
    <row r="49" spans="1:20" x14ac:dyDescent="0.3">
      <c r="A49" s="14" t="s">
        <v>130</v>
      </c>
      <c r="B49" s="14" t="s">
        <v>131</v>
      </c>
      <c r="C49" s="14" t="s">
        <v>32</v>
      </c>
      <c r="D49" s="14" t="s">
        <v>33</v>
      </c>
      <c r="E49" s="14" t="s">
        <v>74</v>
      </c>
      <c r="F49" s="14" t="s">
        <v>30</v>
      </c>
      <c r="G49" s="14">
        <v>7</v>
      </c>
      <c r="H49" s="15">
        <v>49.99</v>
      </c>
      <c r="I49" s="15">
        <f t="shared" si="0"/>
        <v>349.93</v>
      </c>
      <c r="J49" s="16">
        <v>0</v>
      </c>
      <c r="K49" s="15">
        <f t="shared" si="1"/>
        <v>349.93</v>
      </c>
      <c r="L49" s="14" t="s">
        <v>132</v>
      </c>
      <c r="M49" s="31">
        <f t="shared" si="2"/>
        <v>349.93</v>
      </c>
      <c r="N49" s="33">
        <f t="shared" si="3"/>
        <v>299.94</v>
      </c>
      <c r="O49" s="31" t="str">
        <f t="shared" si="4"/>
        <v>March</v>
      </c>
      <c r="P49" s="33">
        <f t="shared" si="5"/>
        <v>-299.94</v>
      </c>
      <c r="Q49" s="33">
        <f t="shared" si="6"/>
        <v>0.8571428571428571</v>
      </c>
      <c r="R49" s="33">
        <f t="shared" si="7"/>
        <v>49.99</v>
      </c>
      <c r="S49" s="33" t="str">
        <f t="shared" si="8"/>
        <v>Small</v>
      </c>
      <c r="T49" s="33" t="str">
        <f t="shared" si="9"/>
        <v>Low</v>
      </c>
    </row>
    <row r="50" spans="1:20" x14ac:dyDescent="0.3">
      <c r="A50" s="2" t="s">
        <v>133</v>
      </c>
      <c r="B50" s="2" t="s">
        <v>131</v>
      </c>
      <c r="C50" s="2" t="s">
        <v>52</v>
      </c>
      <c r="D50" s="2" t="s">
        <v>33</v>
      </c>
      <c r="E50" s="2" t="s">
        <v>16</v>
      </c>
      <c r="F50" s="2" t="s">
        <v>17</v>
      </c>
      <c r="G50" s="2">
        <v>29</v>
      </c>
      <c r="H50" s="3">
        <v>129</v>
      </c>
      <c r="I50" s="3">
        <f t="shared" si="0"/>
        <v>3741</v>
      </c>
      <c r="J50" s="4">
        <v>8</v>
      </c>
      <c r="K50" s="3">
        <f t="shared" si="1"/>
        <v>3441.7200000000003</v>
      </c>
      <c r="L50" s="2" t="s">
        <v>18</v>
      </c>
      <c r="M50" s="31">
        <f t="shared" si="2"/>
        <v>3741</v>
      </c>
      <c r="N50" s="33">
        <f t="shared" si="3"/>
        <v>3612</v>
      </c>
      <c r="O50" s="31" t="str">
        <f t="shared" si="4"/>
        <v>March</v>
      </c>
      <c r="P50" s="33">
        <f t="shared" si="5"/>
        <v>-3312.7200000000003</v>
      </c>
      <c r="Q50" s="33">
        <f t="shared" si="6"/>
        <v>1.0494752623688155</v>
      </c>
      <c r="R50" s="33">
        <f t="shared" si="7"/>
        <v>118.68</v>
      </c>
      <c r="S50" s="33" t="str">
        <f t="shared" si="8"/>
        <v>Large</v>
      </c>
      <c r="T50" s="33" t="str">
        <f t="shared" si="9"/>
        <v>Low</v>
      </c>
    </row>
    <row r="51" spans="1:20" x14ac:dyDescent="0.3">
      <c r="A51" s="8" t="s">
        <v>134</v>
      </c>
      <c r="B51" s="8" t="s">
        <v>135</v>
      </c>
      <c r="C51" s="8" t="s">
        <v>32</v>
      </c>
      <c r="D51" s="8" t="s">
        <v>33</v>
      </c>
      <c r="E51" s="8" t="s">
        <v>66</v>
      </c>
      <c r="F51" s="8" t="s">
        <v>17</v>
      </c>
      <c r="G51" s="8">
        <v>17</v>
      </c>
      <c r="H51" s="9">
        <v>549</v>
      </c>
      <c r="I51" s="9">
        <f t="shared" si="0"/>
        <v>9333</v>
      </c>
      <c r="J51" s="10">
        <v>12</v>
      </c>
      <c r="K51" s="9">
        <f t="shared" si="1"/>
        <v>8213.0400000000009</v>
      </c>
      <c r="L51" s="8" t="s">
        <v>72</v>
      </c>
      <c r="M51" s="31">
        <f t="shared" si="2"/>
        <v>9333</v>
      </c>
      <c r="N51" s="33">
        <f t="shared" si="3"/>
        <v>8784</v>
      </c>
      <c r="O51" s="31" t="str">
        <f t="shared" si="4"/>
        <v>March</v>
      </c>
      <c r="P51" s="33">
        <f t="shared" si="5"/>
        <v>-7664.0400000000009</v>
      </c>
      <c r="Q51" s="33">
        <f t="shared" si="6"/>
        <v>1.0695187165775399</v>
      </c>
      <c r="R51" s="33">
        <f t="shared" si="7"/>
        <v>483.12000000000006</v>
      </c>
      <c r="S51" s="33" t="str">
        <f t="shared" si="8"/>
        <v>Large</v>
      </c>
      <c r="T51" s="33" t="str">
        <f t="shared" si="9"/>
        <v>High</v>
      </c>
    </row>
    <row r="52" spans="1:20" x14ac:dyDescent="0.3">
      <c r="A52" s="2" t="s">
        <v>136</v>
      </c>
      <c r="B52" s="2" t="s">
        <v>137</v>
      </c>
      <c r="C52" s="2" t="s">
        <v>21</v>
      </c>
      <c r="D52" s="2" t="s">
        <v>22</v>
      </c>
      <c r="E52" s="2" t="s">
        <v>82</v>
      </c>
      <c r="F52" s="2" t="s">
        <v>61</v>
      </c>
      <c r="G52" s="2">
        <v>26</v>
      </c>
      <c r="H52" s="3">
        <v>59.99</v>
      </c>
      <c r="I52" s="3">
        <f t="shared" si="0"/>
        <v>1559.74</v>
      </c>
      <c r="J52" s="4">
        <v>12</v>
      </c>
      <c r="K52" s="3">
        <f t="shared" si="1"/>
        <v>1372.5712000000001</v>
      </c>
      <c r="L52" s="2" t="s">
        <v>18</v>
      </c>
      <c r="M52" s="31">
        <f t="shared" si="2"/>
        <v>1559.74</v>
      </c>
      <c r="N52" s="33">
        <f t="shared" si="3"/>
        <v>1499.75</v>
      </c>
      <c r="O52" s="31" t="str">
        <f t="shared" si="4"/>
        <v>March</v>
      </c>
      <c r="P52" s="33">
        <f t="shared" si="5"/>
        <v>-1312.5812000000001</v>
      </c>
      <c r="Q52" s="33">
        <f t="shared" si="6"/>
        <v>1.0926573426573425</v>
      </c>
      <c r="R52" s="33">
        <f t="shared" si="7"/>
        <v>52.791200000000003</v>
      </c>
      <c r="S52" s="33" t="str">
        <f t="shared" si="8"/>
        <v>Large</v>
      </c>
      <c r="T52" s="33" t="str">
        <f t="shared" si="9"/>
        <v>High</v>
      </c>
    </row>
    <row r="53" spans="1:20" x14ac:dyDescent="0.3">
      <c r="A53" s="5" t="s">
        <v>138</v>
      </c>
      <c r="B53" s="5" t="s">
        <v>139</v>
      </c>
      <c r="C53" s="5" t="s">
        <v>80</v>
      </c>
      <c r="D53" s="5" t="s">
        <v>22</v>
      </c>
      <c r="E53" s="5" t="s">
        <v>46</v>
      </c>
      <c r="F53" s="5" t="s">
        <v>30</v>
      </c>
      <c r="G53" s="5">
        <v>13</v>
      </c>
      <c r="H53" s="6">
        <v>59.99</v>
      </c>
      <c r="I53" s="6">
        <f t="shared" si="0"/>
        <v>779.87</v>
      </c>
      <c r="J53" s="7">
        <v>5</v>
      </c>
      <c r="K53" s="6">
        <f t="shared" si="1"/>
        <v>740.87649999999996</v>
      </c>
      <c r="L53" s="5" t="s">
        <v>18</v>
      </c>
      <c r="M53" s="31">
        <f t="shared" si="2"/>
        <v>779.87</v>
      </c>
      <c r="N53" s="33">
        <f t="shared" si="3"/>
        <v>719.88</v>
      </c>
      <c r="O53" s="31" t="str">
        <f t="shared" si="4"/>
        <v>March</v>
      </c>
      <c r="P53" s="33">
        <f t="shared" si="5"/>
        <v>-680.88649999999996</v>
      </c>
      <c r="Q53" s="33">
        <f t="shared" si="6"/>
        <v>0.97165991902834015</v>
      </c>
      <c r="R53" s="33">
        <f t="shared" si="7"/>
        <v>56.990499999999997</v>
      </c>
      <c r="S53" s="33" t="str">
        <f t="shared" si="8"/>
        <v>Large</v>
      </c>
      <c r="T53" s="33" t="str">
        <f t="shared" si="9"/>
        <v>High</v>
      </c>
    </row>
    <row r="54" spans="1:20" x14ac:dyDescent="0.3">
      <c r="A54" s="2" t="s">
        <v>140</v>
      </c>
      <c r="B54" s="2" t="s">
        <v>139</v>
      </c>
      <c r="C54" s="2" t="s">
        <v>14</v>
      </c>
      <c r="D54" s="2" t="s">
        <v>15</v>
      </c>
      <c r="E54" s="2" t="s">
        <v>141</v>
      </c>
      <c r="F54" s="2" t="s">
        <v>17</v>
      </c>
      <c r="G54" s="2">
        <v>29</v>
      </c>
      <c r="H54" s="3">
        <v>169</v>
      </c>
      <c r="I54" s="3">
        <f t="shared" si="0"/>
        <v>4901</v>
      </c>
      <c r="J54" s="4">
        <v>0</v>
      </c>
      <c r="K54" s="3">
        <f t="shared" si="1"/>
        <v>4901</v>
      </c>
      <c r="L54" s="2" t="s">
        <v>18</v>
      </c>
      <c r="M54" s="31">
        <f t="shared" si="2"/>
        <v>4901</v>
      </c>
      <c r="N54" s="33">
        <f t="shared" si="3"/>
        <v>4732</v>
      </c>
      <c r="O54" s="31" t="str">
        <f t="shared" si="4"/>
        <v>March</v>
      </c>
      <c r="P54" s="33">
        <f t="shared" si="5"/>
        <v>-4732</v>
      </c>
      <c r="Q54" s="33">
        <f t="shared" si="6"/>
        <v>0.96551724137931039</v>
      </c>
      <c r="R54" s="33">
        <f t="shared" si="7"/>
        <v>169</v>
      </c>
      <c r="S54" s="33" t="str">
        <f t="shared" si="8"/>
        <v>Large</v>
      </c>
      <c r="T54" s="33" t="str">
        <f t="shared" si="9"/>
        <v>Low</v>
      </c>
    </row>
    <row r="55" spans="1:20" x14ac:dyDescent="0.3">
      <c r="A55" s="5" t="s">
        <v>142</v>
      </c>
      <c r="B55" s="5" t="s">
        <v>143</v>
      </c>
      <c r="C55" s="5" t="s">
        <v>37</v>
      </c>
      <c r="D55" s="5" t="s">
        <v>38</v>
      </c>
      <c r="E55" s="5" t="s">
        <v>144</v>
      </c>
      <c r="F55" s="5" t="s">
        <v>30</v>
      </c>
      <c r="G55" s="5">
        <v>5</v>
      </c>
      <c r="H55" s="6">
        <v>79.989999999999995</v>
      </c>
      <c r="I55" s="6">
        <f t="shared" si="0"/>
        <v>399.95</v>
      </c>
      <c r="J55" s="7">
        <v>12</v>
      </c>
      <c r="K55" s="6">
        <f t="shared" si="1"/>
        <v>351.95600000000002</v>
      </c>
      <c r="L55" s="5" t="s">
        <v>18</v>
      </c>
      <c r="M55" s="31">
        <f t="shared" si="2"/>
        <v>399.95</v>
      </c>
      <c r="N55" s="33">
        <f t="shared" si="3"/>
        <v>319.95999999999998</v>
      </c>
      <c r="O55" s="31" t="str">
        <f t="shared" si="4"/>
        <v>March</v>
      </c>
      <c r="P55" s="33">
        <f t="shared" si="5"/>
        <v>-271.96600000000001</v>
      </c>
      <c r="Q55" s="33">
        <f t="shared" si="6"/>
        <v>0.90909090909090895</v>
      </c>
      <c r="R55" s="33">
        <f t="shared" si="7"/>
        <v>70.391199999999998</v>
      </c>
      <c r="S55" s="33" t="str">
        <f t="shared" si="8"/>
        <v>Small</v>
      </c>
      <c r="T55" s="33" t="str">
        <f t="shared" si="9"/>
        <v>High</v>
      </c>
    </row>
    <row r="56" spans="1:20" x14ac:dyDescent="0.3">
      <c r="A56" s="2" t="s">
        <v>145</v>
      </c>
      <c r="B56" s="2" t="s">
        <v>146</v>
      </c>
      <c r="C56" s="2" t="s">
        <v>37</v>
      </c>
      <c r="D56" s="2" t="s">
        <v>38</v>
      </c>
      <c r="E56" s="2" t="s">
        <v>147</v>
      </c>
      <c r="F56" s="2" t="s">
        <v>24</v>
      </c>
      <c r="G56" s="2">
        <v>30</v>
      </c>
      <c r="H56" s="3">
        <v>79.989999999999995</v>
      </c>
      <c r="I56" s="3">
        <f t="shared" si="0"/>
        <v>2399.6999999999998</v>
      </c>
      <c r="J56" s="4">
        <v>8</v>
      </c>
      <c r="K56" s="3">
        <f t="shared" si="1"/>
        <v>2207.7239999999997</v>
      </c>
      <c r="L56" s="2" t="s">
        <v>18</v>
      </c>
      <c r="M56" s="31">
        <f t="shared" si="2"/>
        <v>2399.6999999999998</v>
      </c>
      <c r="N56" s="33">
        <f t="shared" si="3"/>
        <v>2319.71</v>
      </c>
      <c r="O56" s="31" t="str">
        <f t="shared" si="4"/>
        <v>March</v>
      </c>
      <c r="P56" s="33">
        <f t="shared" si="5"/>
        <v>-2127.7339999999999</v>
      </c>
      <c r="Q56" s="33">
        <f t="shared" si="6"/>
        <v>1.0507246376811596</v>
      </c>
      <c r="R56" s="33">
        <f t="shared" si="7"/>
        <v>73.590799999999987</v>
      </c>
      <c r="S56" s="33" t="str">
        <f t="shared" si="8"/>
        <v>Large</v>
      </c>
      <c r="T56" s="33" t="str">
        <f t="shared" si="9"/>
        <v>Low</v>
      </c>
    </row>
    <row r="57" spans="1:20" x14ac:dyDescent="0.3">
      <c r="A57" s="14" t="s">
        <v>148</v>
      </c>
      <c r="B57" s="14" t="s">
        <v>146</v>
      </c>
      <c r="C57" s="14" t="s">
        <v>28</v>
      </c>
      <c r="D57" s="14" t="s">
        <v>22</v>
      </c>
      <c r="E57" s="14" t="s">
        <v>23</v>
      </c>
      <c r="F57" s="14" t="s">
        <v>24</v>
      </c>
      <c r="G57" s="14">
        <v>12</v>
      </c>
      <c r="H57" s="15">
        <v>999</v>
      </c>
      <c r="I57" s="15">
        <f t="shared" si="0"/>
        <v>11988</v>
      </c>
      <c r="J57" s="16">
        <v>5</v>
      </c>
      <c r="K57" s="15">
        <f t="shared" si="1"/>
        <v>11388.6</v>
      </c>
      <c r="L57" s="14" t="s">
        <v>132</v>
      </c>
      <c r="M57" s="31">
        <f t="shared" si="2"/>
        <v>11988</v>
      </c>
      <c r="N57" s="33">
        <f t="shared" si="3"/>
        <v>10989</v>
      </c>
      <c r="O57" s="31" t="str">
        <f t="shared" si="4"/>
        <v>March</v>
      </c>
      <c r="P57" s="33">
        <f t="shared" si="5"/>
        <v>-10389.6</v>
      </c>
      <c r="Q57" s="33">
        <f t="shared" si="6"/>
        <v>0.96491228070175439</v>
      </c>
      <c r="R57" s="33">
        <f t="shared" si="7"/>
        <v>949.05000000000007</v>
      </c>
      <c r="S57" s="33" t="str">
        <f t="shared" si="8"/>
        <v>Large</v>
      </c>
      <c r="T57" s="33" t="str">
        <f t="shared" si="9"/>
        <v>High</v>
      </c>
    </row>
    <row r="58" spans="1:20" x14ac:dyDescent="0.3">
      <c r="A58" s="2" t="s">
        <v>149</v>
      </c>
      <c r="B58" s="2" t="s">
        <v>146</v>
      </c>
      <c r="C58" s="2" t="s">
        <v>28</v>
      </c>
      <c r="D58" s="2" t="s">
        <v>22</v>
      </c>
      <c r="E58" s="2" t="s">
        <v>66</v>
      </c>
      <c r="F58" s="2" t="s">
        <v>17</v>
      </c>
      <c r="G58" s="2">
        <v>22</v>
      </c>
      <c r="H58" s="3">
        <v>549</v>
      </c>
      <c r="I58" s="3">
        <f t="shared" si="0"/>
        <v>12078</v>
      </c>
      <c r="J58" s="4">
        <v>8</v>
      </c>
      <c r="K58" s="3">
        <f t="shared" si="1"/>
        <v>11111.76</v>
      </c>
      <c r="L58" s="2" t="s">
        <v>18</v>
      </c>
      <c r="M58" s="31">
        <f t="shared" si="2"/>
        <v>12078</v>
      </c>
      <c r="N58" s="33">
        <f t="shared" si="3"/>
        <v>11529</v>
      </c>
      <c r="O58" s="31" t="str">
        <f t="shared" si="4"/>
        <v>March</v>
      </c>
      <c r="P58" s="33">
        <f t="shared" si="5"/>
        <v>-10562.76</v>
      </c>
      <c r="Q58" s="33">
        <f t="shared" si="6"/>
        <v>1.0375494071146245</v>
      </c>
      <c r="R58" s="33">
        <f t="shared" si="7"/>
        <v>505.08</v>
      </c>
      <c r="S58" s="33" t="str">
        <f t="shared" si="8"/>
        <v>Large</v>
      </c>
      <c r="T58" s="33" t="str">
        <f t="shared" si="9"/>
        <v>High</v>
      </c>
    </row>
    <row r="59" spans="1:20" x14ac:dyDescent="0.3">
      <c r="A59" s="14" t="s">
        <v>150</v>
      </c>
      <c r="B59" s="14" t="s">
        <v>146</v>
      </c>
      <c r="C59" s="14" t="s">
        <v>32</v>
      </c>
      <c r="D59" s="14" t="s">
        <v>33</v>
      </c>
      <c r="E59" s="14" t="s">
        <v>147</v>
      </c>
      <c r="F59" s="14" t="s">
        <v>24</v>
      </c>
      <c r="G59" s="14">
        <v>26</v>
      </c>
      <c r="H59" s="15">
        <v>79.989999999999995</v>
      </c>
      <c r="I59" s="15">
        <f t="shared" si="0"/>
        <v>2079.7399999999998</v>
      </c>
      <c r="J59" s="16">
        <v>5</v>
      </c>
      <c r="K59" s="15">
        <f t="shared" si="1"/>
        <v>1975.7529999999997</v>
      </c>
      <c r="L59" s="14" t="s">
        <v>132</v>
      </c>
      <c r="M59" s="31">
        <f t="shared" si="2"/>
        <v>2079.7399999999998</v>
      </c>
      <c r="N59" s="33">
        <f t="shared" si="3"/>
        <v>1999.7499999999998</v>
      </c>
      <c r="O59" s="31" t="str">
        <f t="shared" si="4"/>
        <v>March</v>
      </c>
      <c r="P59" s="33">
        <f t="shared" si="5"/>
        <v>-1895.7629999999997</v>
      </c>
      <c r="Q59" s="33">
        <f t="shared" si="6"/>
        <v>1.0121457489878543</v>
      </c>
      <c r="R59" s="33">
        <f t="shared" si="7"/>
        <v>75.990499999999983</v>
      </c>
      <c r="S59" s="33" t="str">
        <f t="shared" si="8"/>
        <v>Large</v>
      </c>
      <c r="T59" s="33" t="str">
        <f t="shared" si="9"/>
        <v>High</v>
      </c>
    </row>
    <row r="60" spans="1:20" x14ac:dyDescent="0.3">
      <c r="A60" s="2" t="s">
        <v>151</v>
      </c>
      <c r="B60" s="2" t="s">
        <v>152</v>
      </c>
      <c r="C60" s="2" t="s">
        <v>32</v>
      </c>
      <c r="D60" s="2" t="s">
        <v>33</v>
      </c>
      <c r="E60" s="2" t="s">
        <v>141</v>
      </c>
      <c r="F60" s="2" t="s">
        <v>17</v>
      </c>
      <c r="G60" s="2">
        <v>17</v>
      </c>
      <c r="H60" s="3">
        <v>169</v>
      </c>
      <c r="I60" s="3">
        <f t="shared" si="0"/>
        <v>2873</v>
      </c>
      <c r="J60" s="4">
        <v>0</v>
      </c>
      <c r="K60" s="3">
        <f t="shared" si="1"/>
        <v>2873</v>
      </c>
      <c r="L60" s="2" t="s">
        <v>18</v>
      </c>
      <c r="M60" s="31">
        <f t="shared" si="2"/>
        <v>2873</v>
      </c>
      <c r="N60" s="33">
        <f t="shared" si="3"/>
        <v>2704</v>
      </c>
      <c r="O60" s="31" t="str">
        <f t="shared" si="4"/>
        <v>March</v>
      </c>
      <c r="P60" s="33">
        <f t="shared" si="5"/>
        <v>-2704</v>
      </c>
      <c r="Q60" s="33">
        <f t="shared" si="6"/>
        <v>0.94117647058823528</v>
      </c>
      <c r="R60" s="33">
        <f t="shared" si="7"/>
        <v>169</v>
      </c>
      <c r="S60" s="33" t="str">
        <f t="shared" si="8"/>
        <v>Large</v>
      </c>
      <c r="T60" s="33" t="str">
        <f t="shared" si="9"/>
        <v>High</v>
      </c>
    </row>
    <row r="61" spans="1:20" x14ac:dyDescent="0.3">
      <c r="A61" s="5" t="s">
        <v>153</v>
      </c>
      <c r="B61" s="5" t="s">
        <v>154</v>
      </c>
      <c r="C61" s="5" t="s">
        <v>21</v>
      </c>
      <c r="D61" s="5" t="s">
        <v>22</v>
      </c>
      <c r="E61" s="5" t="s">
        <v>77</v>
      </c>
      <c r="F61" s="5" t="s">
        <v>61</v>
      </c>
      <c r="G61" s="5">
        <v>20</v>
      </c>
      <c r="H61" s="6">
        <v>149</v>
      </c>
      <c r="I61" s="6">
        <f t="shared" si="0"/>
        <v>2980</v>
      </c>
      <c r="J61" s="7">
        <v>0</v>
      </c>
      <c r="K61" s="6">
        <f t="shared" si="1"/>
        <v>2980</v>
      </c>
      <c r="L61" s="5" t="s">
        <v>18</v>
      </c>
      <c r="M61" s="31">
        <f t="shared" si="2"/>
        <v>2980</v>
      </c>
      <c r="N61" s="33">
        <f t="shared" si="3"/>
        <v>2831</v>
      </c>
      <c r="O61" s="31" t="str">
        <f t="shared" si="4"/>
        <v>March</v>
      </c>
      <c r="P61" s="33">
        <f t="shared" si="5"/>
        <v>-2831</v>
      </c>
      <c r="Q61" s="33">
        <f t="shared" si="6"/>
        <v>0.95</v>
      </c>
      <c r="R61" s="33">
        <f t="shared" si="7"/>
        <v>149</v>
      </c>
      <c r="S61" s="33" t="str">
        <f t="shared" si="8"/>
        <v>Large</v>
      </c>
      <c r="T61" s="33" t="str">
        <f t="shared" si="9"/>
        <v>High</v>
      </c>
    </row>
    <row r="62" spans="1:20" x14ac:dyDescent="0.3">
      <c r="A62" s="2" t="s">
        <v>155</v>
      </c>
      <c r="B62" s="2" t="s">
        <v>156</v>
      </c>
      <c r="C62" s="2" t="s">
        <v>55</v>
      </c>
      <c r="D62" s="2" t="s">
        <v>38</v>
      </c>
      <c r="E62" s="2" t="s">
        <v>157</v>
      </c>
      <c r="F62" s="2" t="s">
        <v>17</v>
      </c>
      <c r="G62" s="2">
        <v>23</v>
      </c>
      <c r="H62" s="3">
        <v>449</v>
      </c>
      <c r="I62" s="3">
        <f t="shared" si="0"/>
        <v>10327</v>
      </c>
      <c r="J62" s="4">
        <v>12</v>
      </c>
      <c r="K62" s="3">
        <f t="shared" si="1"/>
        <v>9087.76</v>
      </c>
      <c r="L62" s="2" t="s">
        <v>18</v>
      </c>
      <c r="M62" s="31">
        <f t="shared" si="2"/>
        <v>10327</v>
      </c>
      <c r="N62" s="33">
        <f t="shared" si="3"/>
        <v>9878</v>
      </c>
      <c r="O62" s="31" t="str">
        <f t="shared" si="4"/>
        <v>March</v>
      </c>
      <c r="P62" s="33">
        <f t="shared" si="5"/>
        <v>-8638.76</v>
      </c>
      <c r="Q62" s="33">
        <f t="shared" si="6"/>
        <v>1.0869565217391304</v>
      </c>
      <c r="R62" s="33">
        <f t="shared" si="7"/>
        <v>395.12</v>
      </c>
      <c r="S62" s="33" t="str">
        <f t="shared" si="8"/>
        <v>Large</v>
      </c>
      <c r="T62" s="33" t="str">
        <f t="shared" si="9"/>
        <v>High</v>
      </c>
    </row>
    <row r="63" spans="1:20" x14ac:dyDescent="0.3">
      <c r="A63" s="5" t="s">
        <v>158</v>
      </c>
      <c r="B63" s="5" t="s">
        <v>156</v>
      </c>
      <c r="C63" s="5" t="s">
        <v>49</v>
      </c>
      <c r="D63" s="5" t="s">
        <v>38</v>
      </c>
      <c r="E63" s="5" t="s">
        <v>74</v>
      </c>
      <c r="F63" s="5" t="s">
        <v>30</v>
      </c>
      <c r="G63" s="5">
        <v>26</v>
      </c>
      <c r="H63" s="6">
        <v>49.99</v>
      </c>
      <c r="I63" s="6">
        <f t="shared" si="0"/>
        <v>1299.74</v>
      </c>
      <c r="J63" s="7">
        <v>5</v>
      </c>
      <c r="K63" s="6">
        <f t="shared" si="1"/>
        <v>1234.7529999999999</v>
      </c>
      <c r="L63" s="5" t="s">
        <v>18</v>
      </c>
      <c r="M63" s="31">
        <f t="shared" si="2"/>
        <v>1299.74</v>
      </c>
      <c r="N63" s="33">
        <f t="shared" si="3"/>
        <v>1249.75</v>
      </c>
      <c r="O63" s="31" t="str">
        <f t="shared" si="4"/>
        <v>March</v>
      </c>
      <c r="P63" s="33">
        <f t="shared" si="5"/>
        <v>-1184.7629999999999</v>
      </c>
      <c r="Q63" s="33">
        <f t="shared" si="6"/>
        <v>1.0121457489878543</v>
      </c>
      <c r="R63" s="33">
        <f t="shared" si="7"/>
        <v>47.490499999999997</v>
      </c>
      <c r="S63" s="33" t="str">
        <f t="shared" si="8"/>
        <v>Large</v>
      </c>
      <c r="T63" s="33" t="str">
        <f t="shared" si="9"/>
        <v>High</v>
      </c>
    </row>
    <row r="64" spans="1:20" x14ac:dyDescent="0.3">
      <c r="A64" s="2" t="s">
        <v>159</v>
      </c>
      <c r="B64" s="2" t="s">
        <v>160</v>
      </c>
      <c r="C64" s="2" t="s">
        <v>52</v>
      </c>
      <c r="D64" s="2" t="s">
        <v>33</v>
      </c>
      <c r="E64" s="2" t="s">
        <v>29</v>
      </c>
      <c r="F64" s="2" t="s">
        <v>30</v>
      </c>
      <c r="G64" s="2">
        <v>11</v>
      </c>
      <c r="H64" s="3">
        <v>29.99</v>
      </c>
      <c r="I64" s="3">
        <f t="shared" si="0"/>
        <v>329.89</v>
      </c>
      <c r="J64" s="4">
        <v>0</v>
      </c>
      <c r="K64" s="3">
        <f t="shared" si="1"/>
        <v>329.89</v>
      </c>
      <c r="L64" s="2" t="s">
        <v>18</v>
      </c>
      <c r="M64" s="31">
        <f t="shared" si="2"/>
        <v>329.89</v>
      </c>
      <c r="N64" s="33">
        <f t="shared" si="3"/>
        <v>299.89999999999998</v>
      </c>
      <c r="O64" s="31" t="str">
        <f t="shared" si="4"/>
        <v>March</v>
      </c>
      <c r="P64" s="33">
        <f t="shared" si="5"/>
        <v>-299.89999999999998</v>
      </c>
      <c r="Q64" s="33">
        <f t="shared" si="6"/>
        <v>0.90909090909090906</v>
      </c>
      <c r="R64" s="33">
        <f t="shared" si="7"/>
        <v>29.99</v>
      </c>
      <c r="S64" s="33" t="str">
        <f t="shared" si="8"/>
        <v>Large</v>
      </c>
      <c r="T64" s="33" t="str">
        <f t="shared" si="9"/>
        <v>High</v>
      </c>
    </row>
    <row r="65" spans="1:20" x14ac:dyDescent="0.3">
      <c r="A65" s="5" t="s">
        <v>161</v>
      </c>
      <c r="B65" s="5" t="s">
        <v>162</v>
      </c>
      <c r="C65" s="5" t="s">
        <v>41</v>
      </c>
      <c r="D65" s="5" t="s">
        <v>15</v>
      </c>
      <c r="E65" s="5" t="s">
        <v>16</v>
      </c>
      <c r="F65" s="5" t="s">
        <v>17</v>
      </c>
      <c r="G65" s="5">
        <v>4</v>
      </c>
      <c r="H65" s="6">
        <v>129</v>
      </c>
      <c r="I65" s="6">
        <f t="shared" si="0"/>
        <v>516</v>
      </c>
      <c r="J65" s="7">
        <v>10</v>
      </c>
      <c r="K65" s="6">
        <f t="shared" si="1"/>
        <v>464.40000000000003</v>
      </c>
      <c r="L65" s="5" t="s">
        <v>18</v>
      </c>
      <c r="M65" s="31">
        <f t="shared" si="2"/>
        <v>516</v>
      </c>
      <c r="N65" s="33">
        <f t="shared" si="3"/>
        <v>387</v>
      </c>
      <c r="O65" s="31" t="str">
        <f t="shared" si="4"/>
        <v>March</v>
      </c>
      <c r="P65" s="33">
        <f t="shared" si="5"/>
        <v>-335.40000000000003</v>
      </c>
      <c r="Q65" s="33">
        <f t="shared" si="6"/>
        <v>0.83333333333333326</v>
      </c>
      <c r="R65" s="33">
        <f t="shared" si="7"/>
        <v>116.10000000000001</v>
      </c>
      <c r="S65" s="33" t="str">
        <f t="shared" si="8"/>
        <v>Small</v>
      </c>
      <c r="T65" s="33" t="str">
        <f t="shared" si="9"/>
        <v>Low</v>
      </c>
    </row>
    <row r="66" spans="1:20" x14ac:dyDescent="0.3">
      <c r="A66" s="2" t="s">
        <v>163</v>
      </c>
      <c r="B66" s="2" t="s">
        <v>162</v>
      </c>
      <c r="C66" s="2" t="s">
        <v>37</v>
      </c>
      <c r="D66" s="2" t="s">
        <v>38</v>
      </c>
      <c r="E66" s="2" t="s">
        <v>43</v>
      </c>
      <c r="F66" s="2" t="s">
        <v>24</v>
      </c>
      <c r="G66" s="2">
        <v>24</v>
      </c>
      <c r="H66" s="3">
        <v>399</v>
      </c>
      <c r="I66" s="3">
        <f t="shared" ref="I66:I129" si="10">H66*G66</f>
        <v>9576</v>
      </c>
      <c r="J66" s="4">
        <v>10</v>
      </c>
      <c r="K66" s="3">
        <f t="shared" ref="K66:K129" si="11">I66*(1-J66/100)</f>
        <v>8618.4</v>
      </c>
      <c r="L66" s="2" t="s">
        <v>18</v>
      </c>
      <c r="M66" s="31">
        <f t="shared" si="2"/>
        <v>9576</v>
      </c>
      <c r="N66" s="33">
        <f t="shared" si="3"/>
        <v>9177</v>
      </c>
      <c r="O66" s="31" t="str">
        <f t="shared" si="4"/>
        <v>March</v>
      </c>
      <c r="P66" s="33">
        <f t="shared" si="5"/>
        <v>-8219.4</v>
      </c>
      <c r="Q66" s="33">
        <f t="shared" si="6"/>
        <v>1.0648148148148149</v>
      </c>
      <c r="R66" s="33">
        <f t="shared" si="7"/>
        <v>359.09999999999997</v>
      </c>
      <c r="S66" s="33" t="str">
        <f t="shared" si="8"/>
        <v>Large</v>
      </c>
      <c r="T66" s="33" t="str">
        <f t="shared" si="9"/>
        <v>Low</v>
      </c>
    </row>
    <row r="67" spans="1:20" x14ac:dyDescent="0.3">
      <c r="A67" s="5" t="s">
        <v>164</v>
      </c>
      <c r="B67" s="5" t="s">
        <v>162</v>
      </c>
      <c r="C67" s="5" t="s">
        <v>14</v>
      </c>
      <c r="D67" s="5" t="s">
        <v>15</v>
      </c>
      <c r="E67" s="5" t="s">
        <v>74</v>
      </c>
      <c r="F67" s="5" t="s">
        <v>30</v>
      </c>
      <c r="G67" s="5">
        <v>2</v>
      </c>
      <c r="H67" s="6">
        <v>49.99</v>
      </c>
      <c r="I67" s="6">
        <f t="shared" si="10"/>
        <v>99.98</v>
      </c>
      <c r="J67" s="7">
        <v>5</v>
      </c>
      <c r="K67" s="6">
        <f t="shared" si="11"/>
        <v>94.980999999999995</v>
      </c>
      <c r="L67" s="5" t="s">
        <v>18</v>
      </c>
      <c r="M67" s="31">
        <f t="shared" ref="M67:M130" si="12">G67*H67</f>
        <v>99.98</v>
      </c>
      <c r="N67" s="33">
        <f t="shared" ref="N67:N130" si="13">M67-H67</f>
        <v>49.99</v>
      </c>
      <c r="O67" s="31" t="str">
        <f t="shared" ref="O67:O130" si="14">TEXT(B67,"MMMM")</f>
        <v>March</v>
      </c>
      <c r="P67" s="33">
        <f t="shared" ref="P67:P130" si="15">H67-K67</f>
        <v>-44.990999999999993</v>
      </c>
      <c r="Q67" s="33">
        <f t="shared" ref="Q67:Q130" si="16">N67/K67</f>
        <v>0.52631578947368429</v>
      </c>
      <c r="R67" s="33">
        <f t="shared" ref="R67:R130" si="17">K67/G67</f>
        <v>47.490499999999997</v>
      </c>
      <c r="S67" s="33" t="str">
        <f t="shared" ref="S67:S130" si="18">IF(G67&gt;=10,"Large","Small")</f>
        <v>Small</v>
      </c>
      <c r="T67" s="33" t="str">
        <f t="shared" ref="T67:T130" si="19">IF(K66&gt;1000,"High","Low")</f>
        <v>High</v>
      </c>
    </row>
    <row r="68" spans="1:20" x14ac:dyDescent="0.3">
      <c r="A68" s="2" t="s">
        <v>165</v>
      </c>
      <c r="B68" s="2" t="s">
        <v>162</v>
      </c>
      <c r="C68" s="2" t="s">
        <v>32</v>
      </c>
      <c r="D68" s="2" t="s">
        <v>33</v>
      </c>
      <c r="E68" s="2" t="s">
        <v>99</v>
      </c>
      <c r="F68" s="2" t="s">
        <v>30</v>
      </c>
      <c r="G68" s="2">
        <v>7</v>
      </c>
      <c r="H68" s="3">
        <v>89.99</v>
      </c>
      <c r="I68" s="3">
        <f t="shared" si="10"/>
        <v>629.92999999999995</v>
      </c>
      <c r="J68" s="4">
        <v>8</v>
      </c>
      <c r="K68" s="3">
        <f t="shared" si="11"/>
        <v>579.53559999999993</v>
      </c>
      <c r="L68" s="2" t="s">
        <v>18</v>
      </c>
      <c r="M68" s="31">
        <f t="shared" si="12"/>
        <v>629.92999999999995</v>
      </c>
      <c r="N68" s="33">
        <f t="shared" si="13"/>
        <v>539.93999999999994</v>
      </c>
      <c r="O68" s="31" t="str">
        <f t="shared" si="14"/>
        <v>March</v>
      </c>
      <c r="P68" s="33">
        <f t="shared" si="15"/>
        <v>-489.54559999999992</v>
      </c>
      <c r="Q68" s="33">
        <f t="shared" si="16"/>
        <v>0.93167701863354035</v>
      </c>
      <c r="R68" s="33">
        <f t="shared" si="17"/>
        <v>82.79079999999999</v>
      </c>
      <c r="S68" s="33" t="str">
        <f t="shared" si="18"/>
        <v>Small</v>
      </c>
      <c r="T68" s="33" t="str">
        <f t="shared" si="19"/>
        <v>Low</v>
      </c>
    </row>
    <row r="69" spans="1:20" x14ac:dyDescent="0.3">
      <c r="A69" s="5" t="s">
        <v>166</v>
      </c>
      <c r="B69" s="5" t="s">
        <v>162</v>
      </c>
      <c r="C69" s="5" t="s">
        <v>28</v>
      </c>
      <c r="D69" s="5" t="s">
        <v>22</v>
      </c>
      <c r="E69" s="5" t="s">
        <v>46</v>
      </c>
      <c r="F69" s="5" t="s">
        <v>30</v>
      </c>
      <c r="G69" s="5">
        <v>13</v>
      </c>
      <c r="H69" s="6">
        <v>59.99</v>
      </c>
      <c r="I69" s="6">
        <f t="shared" si="10"/>
        <v>779.87</v>
      </c>
      <c r="J69" s="7">
        <v>0</v>
      </c>
      <c r="K69" s="6">
        <f t="shared" si="11"/>
        <v>779.87</v>
      </c>
      <c r="L69" s="5" t="s">
        <v>18</v>
      </c>
      <c r="M69" s="31">
        <f t="shared" si="12"/>
        <v>779.87</v>
      </c>
      <c r="N69" s="33">
        <f t="shared" si="13"/>
        <v>719.88</v>
      </c>
      <c r="O69" s="31" t="str">
        <f t="shared" si="14"/>
        <v>March</v>
      </c>
      <c r="P69" s="33">
        <f t="shared" si="15"/>
        <v>-719.88</v>
      </c>
      <c r="Q69" s="33">
        <f t="shared" si="16"/>
        <v>0.92307692307692302</v>
      </c>
      <c r="R69" s="33">
        <f t="shared" si="17"/>
        <v>59.99</v>
      </c>
      <c r="S69" s="33" t="str">
        <f t="shared" si="18"/>
        <v>Large</v>
      </c>
      <c r="T69" s="33" t="str">
        <f t="shared" si="19"/>
        <v>Low</v>
      </c>
    </row>
    <row r="70" spans="1:20" x14ac:dyDescent="0.3">
      <c r="A70" s="2" t="s">
        <v>167</v>
      </c>
      <c r="B70" s="2" t="s">
        <v>168</v>
      </c>
      <c r="C70" s="2" t="s">
        <v>37</v>
      </c>
      <c r="D70" s="2" t="s">
        <v>38</v>
      </c>
      <c r="E70" s="2" t="s">
        <v>46</v>
      </c>
      <c r="F70" s="2" t="s">
        <v>30</v>
      </c>
      <c r="G70" s="2">
        <v>11</v>
      </c>
      <c r="H70" s="3">
        <v>59.99</v>
      </c>
      <c r="I70" s="3">
        <f t="shared" si="10"/>
        <v>659.89</v>
      </c>
      <c r="J70" s="4">
        <v>15</v>
      </c>
      <c r="K70" s="3">
        <f t="shared" si="11"/>
        <v>560.90649999999994</v>
      </c>
      <c r="L70" s="2" t="s">
        <v>18</v>
      </c>
      <c r="M70" s="31">
        <f t="shared" si="12"/>
        <v>659.89</v>
      </c>
      <c r="N70" s="33">
        <f t="shared" si="13"/>
        <v>599.9</v>
      </c>
      <c r="O70" s="31" t="str">
        <f t="shared" si="14"/>
        <v>March</v>
      </c>
      <c r="P70" s="33">
        <f t="shared" si="15"/>
        <v>-500.91649999999993</v>
      </c>
      <c r="Q70" s="33">
        <f t="shared" si="16"/>
        <v>1.0695187165775402</v>
      </c>
      <c r="R70" s="33">
        <f t="shared" si="17"/>
        <v>50.991499999999995</v>
      </c>
      <c r="S70" s="33" t="str">
        <f t="shared" si="18"/>
        <v>Large</v>
      </c>
      <c r="T70" s="33" t="str">
        <f t="shared" si="19"/>
        <v>Low</v>
      </c>
    </row>
    <row r="71" spans="1:20" x14ac:dyDescent="0.3">
      <c r="A71" s="5" t="s">
        <v>169</v>
      </c>
      <c r="B71" s="5" t="s">
        <v>168</v>
      </c>
      <c r="C71" s="5" t="s">
        <v>28</v>
      </c>
      <c r="D71" s="5" t="s">
        <v>22</v>
      </c>
      <c r="E71" s="5" t="s">
        <v>16</v>
      </c>
      <c r="F71" s="5" t="s">
        <v>17</v>
      </c>
      <c r="G71" s="5">
        <v>16</v>
      </c>
      <c r="H71" s="6">
        <v>129</v>
      </c>
      <c r="I71" s="6">
        <f t="shared" si="10"/>
        <v>2064</v>
      </c>
      <c r="J71" s="7">
        <v>12</v>
      </c>
      <c r="K71" s="6">
        <f t="shared" si="11"/>
        <v>1816.32</v>
      </c>
      <c r="L71" s="5" t="s">
        <v>18</v>
      </c>
      <c r="M71" s="31">
        <f t="shared" si="12"/>
        <v>2064</v>
      </c>
      <c r="N71" s="33">
        <f t="shared" si="13"/>
        <v>1935</v>
      </c>
      <c r="O71" s="31" t="str">
        <f t="shared" si="14"/>
        <v>March</v>
      </c>
      <c r="P71" s="33">
        <f t="shared" si="15"/>
        <v>-1687.32</v>
      </c>
      <c r="Q71" s="33">
        <f t="shared" si="16"/>
        <v>1.0653409090909092</v>
      </c>
      <c r="R71" s="33">
        <f t="shared" si="17"/>
        <v>113.52</v>
      </c>
      <c r="S71" s="33" t="str">
        <f t="shared" si="18"/>
        <v>Large</v>
      </c>
      <c r="T71" s="33" t="str">
        <f t="shared" si="19"/>
        <v>Low</v>
      </c>
    </row>
    <row r="72" spans="1:20" x14ac:dyDescent="0.3">
      <c r="A72" s="2" t="s">
        <v>170</v>
      </c>
      <c r="B72" s="2" t="s">
        <v>171</v>
      </c>
      <c r="C72" s="2" t="s">
        <v>49</v>
      </c>
      <c r="D72" s="2" t="s">
        <v>38</v>
      </c>
      <c r="E72" s="2" t="s">
        <v>29</v>
      </c>
      <c r="F72" s="2" t="s">
        <v>30</v>
      </c>
      <c r="G72" s="2">
        <v>19</v>
      </c>
      <c r="H72" s="3">
        <v>29.99</v>
      </c>
      <c r="I72" s="3">
        <f t="shared" si="10"/>
        <v>569.80999999999995</v>
      </c>
      <c r="J72" s="4">
        <v>0</v>
      </c>
      <c r="K72" s="3">
        <f t="shared" si="11"/>
        <v>569.80999999999995</v>
      </c>
      <c r="L72" s="2" t="s">
        <v>18</v>
      </c>
      <c r="M72" s="31">
        <f t="shared" si="12"/>
        <v>569.80999999999995</v>
      </c>
      <c r="N72" s="33">
        <f t="shared" si="13"/>
        <v>539.81999999999994</v>
      </c>
      <c r="O72" s="31" t="str">
        <f t="shared" si="14"/>
        <v>March</v>
      </c>
      <c r="P72" s="33">
        <f t="shared" si="15"/>
        <v>-539.81999999999994</v>
      </c>
      <c r="Q72" s="33">
        <f t="shared" si="16"/>
        <v>0.94736842105263153</v>
      </c>
      <c r="R72" s="33">
        <f t="shared" si="17"/>
        <v>29.99</v>
      </c>
      <c r="S72" s="33" t="str">
        <f t="shared" si="18"/>
        <v>Large</v>
      </c>
      <c r="T72" s="33" t="str">
        <f t="shared" si="19"/>
        <v>High</v>
      </c>
    </row>
    <row r="73" spans="1:20" x14ac:dyDescent="0.3">
      <c r="A73" s="5" t="s">
        <v>172</v>
      </c>
      <c r="B73" s="5" t="s">
        <v>171</v>
      </c>
      <c r="C73" s="5" t="s">
        <v>14</v>
      </c>
      <c r="D73" s="5" t="s">
        <v>15</v>
      </c>
      <c r="E73" s="5" t="s">
        <v>90</v>
      </c>
      <c r="F73" s="5" t="s">
        <v>24</v>
      </c>
      <c r="G73" s="5">
        <v>25</v>
      </c>
      <c r="H73" s="6">
        <v>149.99</v>
      </c>
      <c r="I73" s="6">
        <f t="shared" si="10"/>
        <v>3749.75</v>
      </c>
      <c r="J73" s="7">
        <v>0</v>
      </c>
      <c r="K73" s="6">
        <f t="shared" si="11"/>
        <v>3749.75</v>
      </c>
      <c r="L73" s="5" t="s">
        <v>18</v>
      </c>
      <c r="M73" s="31">
        <f t="shared" si="12"/>
        <v>3749.75</v>
      </c>
      <c r="N73" s="33">
        <f t="shared" si="13"/>
        <v>3599.76</v>
      </c>
      <c r="O73" s="31" t="str">
        <f t="shared" si="14"/>
        <v>March</v>
      </c>
      <c r="P73" s="33">
        <f t="shared" si="15"/>
        <v>-3599.76</v>
      </c>
      <c r="Q73" s="33">
        <f t="shared" si="16"/>
        <v>0.96000000000000008</v>
      </c>
      <c r="R73" s="33">
        <f t="shared" si="17"/>
        <v>149.99</v>
      </c>
      <c r="S73" s="33" t="str">
        <f t="shared" si="18"/>
        <v>Large</v>
      </c>
      <c r="T73" s="33" t="str">
        <f t="shared" si="19"/>
        <v>Low</v>
      </c>
    </row>
    <row r="74" spans="1:20" x14ac:dyDescent="0.3">
      <c r="A74" s="2" t="s">
        <v>173</v>
      </c>
      <c r="B74" s="2" t="s">
        <v>174</v>
      </c>
      <c r="C74" s="2" t="s">
        <v>14</v>
      </c>
      <c r="D74" s="2" t="s">
        <v>15</v>
      </c>
      <c r="E74" s="2" t="s">
        <v>144</v>
      </c>
      <c r="F74" s="2" t="s">
        <v>30</v>
      </c>
      <c r="G74" s="2">
        <v>10</v>
      </c>
      <c r="H74" s="3">
        <v>79.989999999999995</v>
      </c>
      <c r="I74" s="3">
        <f t="shared" si="10"/>
        <v>799.9</v>
      </c>
      <c r="J74" s="4">
        <v>8</v>
      </c>
      <c r="K74" s="3">
        <f t="shared" si="11"/>
        <v>735.90800000000002</v>
      </c>
      <c r="L74" s="2" t="s">
        <v>18</v>
      </c>
      <c r="M74" s="31">
        <f t="shared" si="12"/>
        <v>799.9</v>
      </c>
      <c r="N74" s="33">
        <f t="shared" si="13"/>
        <v>719.91</v>
      </c>
      <c r="O74" s="31" t="str">
        <f t="shared" si="14"/>
        <v>March</v>
      </c>
      <c r="P74" s="33">
        <f t="shared" si="15"/>
        <v>-655.91800000000001</v>
      </c>
      <c r="Q74" s="33">
        <f t="shared" si="16"/>
        <v>0.97826086956521729</v>
      </c>
      <c r="R74" s="33">
        <f t="shared" si="17"/>
        <v>73.590800000000002</v>
      </c>
      <c r="S74" s="33" t="str">
        <f t="shared" si="18"/>
        <v>Large</v>
      </c>
      <c r="T74" s="33" t="str">
        <f t="shared" si="19"/>
        <v>High</v>
      </c>
    </row>
    <row r="75" spans="1:20" x14ac:dyDescent="0.3">
      <c r="A75" s="5" t="s">
        <v>175</v>
      </c>
      <c r="B75" s="5" t="s">
        <v>174</v>
      </c>
      <c r="C75" s="5" t="s">
        <v>80</v>
      </c>
      <c r="D75" s="5" t="s">
        <v>22</v>
      </c>
      <c r="E75" s="5" t="s">
        <v>39</v>
      </c>
      <c r="F75" s="5" t="s">
        <v>17</v>
      </c>
      <c r="G75" s="5">
        <v>4</v>
      </c>
      <c r="H75" s="6">
        <v>299</v>
      </c>
      <c r="I75" s="6">
        <f t="shared" si="10"/>
        <v>1196</v>
      </c>
      <c r="J75" s="7">
        <v>8</v>
      </c>
      <c r="K75" s="6">
        <f t="shared" si="11"/>
        <v>1100.32</v>
      </c>
      <c r="L75" s="5" t="s">
        <v>18</v>
      </c>
      <c r="M75" s="31">
        <f t="shared" si="12"/>
        <v>1196</v>
      </c>
      <c r="N75" s="33">
        <f t="shared" si="13"/>
        <v>897</v>
      </c>
      <c r="O75" s="31" t="str">
        <f t="shared" si="14"/>
        <v>March</v>
      </c>
      <c r="P75" s="33">
        <f t="shared" si="15"/>
        <v>-801.31999999999994</v>
      </c>
      <c r="Q75" s="33">
        <f t="shared" si="16"/>
        <v>0.81521739130434789</v>
      </c>
      <c r="R75" s="33">
        <f t="shared" si="17"/>
        <v>275.08</v>
      </c>
      <c r="S75" s="33" t="str">
        <f t="shared" si="18"/>
        <v>Small</v>
      </c>
      <c r="T75" s="33" t="str">
        <f t="shared" si="19"/>
        <v>Low</v>
      </c>
    </row>
    <row r="76" spans="1:20" x14ac:dyDescent="0.3">
      <c r="A76" s="11" t="s">
        <v>176</v>
      </c>
      <c r="B76" s="11" t="s">
        <v>177</v>
      </c>
      <c r="C76" s="11" t="s">
        <v>32</v>
      </c>
      <c r="D76" s="11" t="s">
        <v>33</v>
      </c>
      <c r="E76" s="11" t="s">
        <v>23</v>
      </c>
      <c r="F76" s="11" t="s">
        <v>24</v>
      </c>
      <c r="G76" s="11">
        <v>8</v>
      </c>
      <c r="H76" s="12">
        <v>999</v>
      </c>
      <c r="I76" s="12">
        <f t="shared" si="10"/>
        <v>7992</v>
      </c>
      <c r="J76" s="13">
        <v>0</v>
      </c>
      <c r="K76" s="12">
        <f t="shared" si="11"/>
        <v>7992</v>
      </c>
      <c r="L76" s="11" t="s">
        <v>72</v>
      </c>
      <c r="M76" s="31">
        <f t="shared" si="12"/>
        <v>7992</v>
      </c>
      <c r="N76" s="33">
        <f t="shared" si="13"/>
        <v>6993</v>
      </c>
      <c r="O76" s="31" t="str">
        <f t="shared" si="14"/>
        <v>March</v>
      </c>
      <c r="P76" s="33">
        <f t="shared" si="15"/>
        <v>-6993</v>
      </c>
      <c r="Q76" s="33">
        <f t="shared" si="16"/>
        <v>0.875</v>
      </c>
      <c r="R76" s="33">
        <f t="shared" si="17"/>
        <v>999</v>
      </c>
      <c r="S76" s="33" t="str">
        <f t="shared" si="18"/>
        <v>Small</v>
      </c>
      <c r="T76" s="33" t="str">
        <f t="shared" si="19"/>
        <v>High</v>
      </c>
    </row>
    <row r="77" spans="1:20" x14ac:dyDescent="0.3">
      <c r="A77" s="14" t="s">
        <v>178</v>
      </c>
      <c r="B77" s="14" t="s">
        <v>177</v>
      </c>
      <c r="C77" s="14" t="s">
        <v>21</v>
      </c>
      <c r="D77" s="14" t="s">
        <v>22</v>
      </c>
      <c r="E77" s="14" t="s">
        <v>66</v>
      </c>
      <c r="F77" s="14" t="s">
        <v>17</v>
      </c>
      <c r="G77" s="14">
        <v>6</v>
      </c>
      <c r="H77" s="15">
        <v>549</v>
      </c>
      <c r="I77" s="15">
        <f t="shared" si="10"/>
        <v>3294</v>
      </c>
      <c r="J77" s="16">
        <v>10</v>
      </c>
      <c r="K77" s="15">
        <f t="shared" si="11"/>
        <v>2964.6</v>
      </c>
      <c r="L77" s="14" t="s">
        <v>132</v>
      </c>
      <c r="M77" s="31">
        <f t="shared" si="12"/>
        <v>3294</v>
      </c>
      <c r="N77" s="33">
        <f t="shared" si="13"/>
        <v>2745</v>
      </c>
      <c r="O77" s="31" t="str">
        <f t="shared" si="14"/>
        <v>March</v>
      </c>
      <c r="P77" s="33">
        <f t="shared" si="15"/>
        <v>-2415.6</v>
      </c>
      <c r="Q77" s="33">
        <f t="shared" si="16"/>
        <v>0.92592592592592593</v>
      </c>
      <c r="R77" s="33">
        <f t="shared" si="17"/>
        <v>494.09999999999997</v>
      </c>
      <c r="S77" s="33" t="str">
        <f t="shared" si="18"/>
        <v>Small</v>
      </c>
      <c r="T77" s="33" t="str">
        <f t="shared" si="19"/>
        <v>High</v>
      </c>
    </row>
    <row r="78" spans="1:20" x14ac:dyDescent="0.3">
      <c r="A78" s="2" t="s">
        <v>179</v>
      </c>
      <c r="B78" s="2" t="s">
        <v>180</v>
      </c>
      <c r="C78" s="2" t="s">
        <v>21</v>
      </c>
      <c r="D78" s="2" t="s">
        <v>22</v>
      </c>
      <c r="E78" s="2" t="s">
        <v>66</v>
      </c>
      <c r="F78" s="2" t="s">
        <v>17</v>
      </c>
      <c r="G78" s="2">
        <v>17</v>
      </c>
      <c r="H78" s="3">
        <v>549</v>
      </c>
      <c r="I78" s="3">
        <f t="shared" si="10"/>
        <v>9333</v>
      </c>
      <c r="J78" s="4">
        <v>8</v>
      </c>
      <c r="K78" s="3">
        <f t="shared" si="11"/>
        <v>8586.36</v>
      </c>
      <c r="L78" s="2" t="s">
        <v>18</v>
      </c>
      <c r="M78" s="31">
        <f t="shared" si="12"/>
        <v>9333</v>
      </c>
      <c r="N78" s="33">
        <f t="shared" si="13"/>
        <v>8784</v>
      </c>
      <c r="O78" s="31" t="str">
        <f t="shared" si="14"/>
        <v>March</v>
      </c>
      <c r="P78" s="33">
        <f t="shared" si="15"/>
        <v>-8037.3600000000006</v>
      </c>
      <c r="Q78" s="33">
        <f t="shared" si="16"/>
        <v>1.0230179028132991</v>
      </c>
      <c r="R78" s="33">
        <f t="shared" si="17"/>
        <v>505.08000000000004</v>
      </c>
      <c r="S78" s="33" t="str">
        <f t="shared" si="18"/>
        <v>Large</v>
      </c>
      <c r="T78" s="33" t="str">
        <f t="shared" si="19"/>
        <v>High</v>
      </c>
    </row>
    <row r="79" spans="1:20" x14ac:dyDescent="0.3">
      <c r="A79" s="5" t="s">
        <v>181</v>
      </c>
      <c r="B79" s="5" t="s">
        <v>182</v>
      </c>
      <c r="C79" s="5" t="s">
        <v>14</v>
      </c>
      <c r="D79" s="5" t="s">
        <v>15</v>
      </c>
      <c r="E79" s="5" t="s">
        <v>103</v>
      </c>
      <c r="F79" s="5" t="s">
        <v>61</v>
      </c>
      <c r="G79" s="5">
        <v>4</v>
      </c>
      <c r="H79" s="6">
        <v>99</v>
      </c>
      <c r="I79" s="6">
        <f t="shared" si="10"/>
        <v>396</v>
      </c>
      <c r="J79" s="7">
        <v>15</v>
      </c>
      <c r="K79" s="6">
        <f t="shared" si="11"/>
        <v>336.59999999999997</v>
      </c>
      <c r="L79" s="5" t="s">
        <v>18</v>
      </c>
      <c r="M79" s="31">
        <f t="shared" si="12"/>
        <v>396</v>
      </c>
      <c r="N79" s="33">
        <f t="shared" si="13"/>
        <v>297</v>
      </c>
      <c r="O79" s="31" t="str">
        <f t="shared" si="14"/>
        <v>March</v>
      </c>
      <c r="P79" s="33">
        <f t="shared" si="15"/>
        <v>-237.59999999999997</v>
      </c>
      <c r="Q79" s="33">
        <f t="shared" si="16"/>
        <v>0.88235294117647067</v>
      </c>
      <c r="R79" s="33">
        <f t="shared" si="17"/>
        <v>84.149999999999991</v>
      </c>
      <c r="S79" s="33" t="str">
        <f t="shared" si="18"/>
        <v>Small</v>
      </c>
      <c r="T79" s="33" t="str">
        <f t="shared" si="19"/>
        <v>High</v>
      </c>
    </row>
    <row r="80" spans="1:20" x14ac:dyDescent="0.3">
      <c r="A80" s="17" t="s">
        <v>183</v>
      </c>
      <c r="B80" s="17" t="s">
        <v>184</v>
      </c>
      <c r="C80" s="17" t="s">
        <v>32</v>
      </c>
      <c r="D80" s="17" t="s">
        <v>33</v>
      </c>
      <c r="E80" s="17" t="s">
        <v>147</v>
      </c>
      <c r="F80" s="17" t="s">
        <v>24</v>
      </c>
      <c r="G80" s="17">
        <v>17</v>
      </c>
      <c r="H80" s="18">
        <v>79.989999999999995</v>
      </c>
      <c r="I80" s="18">
        <f t="shared" si="10"/>
        <v>1359.83</v>
      </c>
      <c r="J80" s="19">
        <v>12</v>
      </c>
      <c r="K80" s="18">
        <f t="shared" si="11"/>
        <v>1196.6504</v>
      </c>
      <c r="L80" s="17" t="s">
        <v>132</v>
      </c>
      <c r="M80" s="31">
        <f t="shared" si="12"/>
        <v>1359.83</v>
      </c>
      <c r="N80" s="33">
        <f t="shared" si="13"/>
        <v>1279.8399999999999</v>
      </c>
      <c r="O80" s="31" t="str">
        <f t="shared" si="14"/>
        <v>April</v>
      </c>
      <c r="P80" s="33">
        <f t="shared" si="15"/>
        <v>-1116.6604</v>
      </c>
      <c r="Q80" s="33">
        <f t="shared" si="16"/>
        <v>1.0695187165775399</v>
      </c>
      <c r="R80" s="33">
        <f t="shared" si="17"/>
        <v>70.391199999999998</v>
      </c>
      <c r="S80" s="33" t="str">
        <f t="shared" si="18"/>
        <v>Large</v>
      </c>
      <c r="T80" s="33" t="str">
        <f t="shared" si="19"/>
        <v>Low</v>
      </c>
    </row>
    <row r="81" spans="1:20" x14ac:dyDescent="0.3">
      <c r="A81" s="8" t="s">
        <v>185</v>
      </c>
      <c r="B81" s="8" t="s">
        <v>184</v>
      </c>
      <c r="C81" s="8" t="s">
        <v>37</v>
      </c>
      <c r="D81" s="8" t="s">
        <v>38</v>
      </c>
      <c r="E81" s="8" t="s">
        <v>71</v>
      </c>
      <c r="F81" s="8" t="s">
        <v>24</v>
      </c>
      <c r="G81" s="8">
        <v>4</v>
      </c>
      <c r="H81" s="9">
        <v>249</v>
      </c>
      <c r="I81" s="9">
        <f t="shared" si="10"/>
        <v>996</v>
      </c>
      <c r="J81" s="10">
        <v>12</v>
      </c>
      <c r="K81" s="9">
        <f t="shared" si="11"/>
        <v>876.48</v>
      </c>
      <c r="L81" s="8" t="s">
        <v>72</v>
      </c>
      <c r="M81" s="31">
        <f t="shared" si="12"/>
        <v>996</v>
      </c>
      <c r="N81" s="33">
        <f t="shared" si="13"/>
        <v>747</v>
      </c>
      <c r="O81" s="31" t="str">
        <f t="shared" si="14"/>
        <v>April</v>
      </c>
      <c r="P81" s="33">
        <f t="shared" si="15"/>
        <v>-627.48</v>
      </c>
      <c r="Q81" s="33">
        <f t="shared" si="16"/>
        <v>0.85227272727272729</v>
      </c>
      <c r="R81" s="33">
        <f t="shared" si="17"/>
        <v>219.12</v>
      </c>
      <c r="S81" s="33" t="str">
        <f t="shared" si="18"/>
        <v>Small</v>
      </c>
      <c r="T81" s="33" t="str">
        <f t="shared" si="19"/>
        <v>High</v>
      </c>
    </row>
    <row r="82" spans="1:20" x14ac:dyDescent="0.3">
      <c r="A82" s="17" t="s">
        <v>186</v>
      </c>
      <c r="B82" s="17" t="s">
        <v>184</v>
      </c>
      <c r="C82" s="17" t="s">
        <v>14</v>
      </c>
      <c r="D82" s="17" t="s">
        <v>15</v>
      </c>
      <c r="E82" s="17" t="s">
        <v>103</v>
      </c>
      <c r="F82" s="17" t="s">
        <v>61</v>
      </c>
      <c r="G82" s="17">
        <v>21</v>
      </c>
      <c r="H82" s="18">
        <v>99</v>
      </c>
      <c r="I82" s="18">
        <f t="shared" si="10"/>
        <v>2079</v>
      </c>
      <c r="J82" s="19">
        <v>0</v>
      </c>
      <c r="K82" s="18">
        <f t="shared" si="11"/>
        <v>2079</v>
      </c>
      <c r="L82" s="17" t="s">
        <v>132</v>
      </c>
      <c r="M82" s="31">
        <f t="shared" si="12"/>
        <v>2079</v>
      </c>
      <c r="N82" s="33">
        <f t="shared" si="13"/>
        <v>1980</v>
      </c>
      <c r="O82" s="31" t="str">
        <f t="shared" si="14"/>
        <v>April</v>
      </c>
      <c r="P82" s="33">
        <f t="shared" si="15"/>
        <v>-1980</v>
      </c>
      <c r="Q82" s="33">
        <f t="shared" si="16"/>
        <v>0.95238095238095233</v>
      </c>
      <c r="R82" s="33">
        <f t="shared" si="17"/>
        <v>99</v>
      </c>
      <c r="S82" s="33" t="str">
        <f t="shared" si="18"/>
        <v>Large</v>
      </c>
      <c r="T82" s="33" t="str">
        <f t="shared" si="19"/>
        <v>Low</v>
      </c>
    </row>
    <row r="83" spans="1:20" x14ac:dyDescent="0.3">
      <c r="A83" s="5" t="s">
        <v>187</v>
      </c>
      <c r="B83" s="5" t="s">
        <v>184</v>
      </c>
      <c r="C83" s="5" t="s">
        <v>41</v>
      </c>
      <c r="D83" s="5" t="s">
        <v>15</v>
      </c>
      <c r="E83" s="5" t="s">
        <v>188</v>
      </c>
      <c r="F83" s="5" t="s">
        <v>17</v>
      </c>
      <c r="G83" s="5">
        <v>5</v>
      </c>
      <c r="H83" s="6">
        <v>39.99</v>
      </c>
      <c r="I83" s="6">
        <f t="shared" si="10"/>
        <v>199.95000000000002</v>
      </c>
      <c r="J83" s="7">
        <v>10</v>
      </c>
      <c r="K83" s="6">
        <f t="shared" si="11"/>
        <v>179.95500000000001</v>
      </c>
      <c r="L83" s="5" t="s">
        <v>18</v>
      </c>
      <c r="M83" s="31">
        <f t="shared" si="12"/>
        <v>199.95000000000002</v>
      </c>
      <c r="N83" s="33">
        <f t="shared" si="13"/>
        <v>159.96</v>
      </c>
      <c r="O83" s="31" t="str">
        <f t="shared" si="14"/>
        <v>April</v>
      </c>
      <c r="P83" s="33">
        <f t="shared" si="15"/>
        <v>-139.965</v>
      </c>
      <c r="Q83" s="33">
        <f t="shared" si="16"/>
        <v>0.88888888888888884</v>
      </c>
      <c r="R83" s="33">
        <f t="shared" si="17"/>
        <v>35.991</v>
      </c>
      <c r="S83" s="33" t="str">
        <f t="shared" si="18"/>
        <v>Small</v>
      </c>
      <c r="T83" s="33" t="str">
        <f t="shared" si="19"/>
        <v>High</v>
      </c>
    </row>
    <row r="84" spans="1:20" x14ac:dyDescent="0.3">
      <c r="A84" s="2" t="s">
        <v>189</v>
      </c>
      <c r="B84" s="2" t="s">
        <v>190</v>
      </c>
      <c r="C84" s="2" t="s">
        <v>32</v>
      </c>
      <c r="D84" s="2" t="s">
        <v>33</v>
      </c>
      <c r="E84" s="2" t="s">
        <v>60</v>
      </c>
      <c r="F84" s="2" t="s">
        <v>61</v>
      </c>
      <c r="G84" s="2">
        <v>11</v>
      </c>
      <c r="H84" s="3">
        <v>49.99</v>
      </c>
      <c r="I84" s="3">
        <f t="shared" si="10"/>
        <v>549.89</v>
      </c>
      <c r="J84" s="4">
        <v>0</v>
      </c>
      <c r="K84" s="3">
        <f t="shared" si="11"/>
        <v>549.89</v>
      </c>
      <c r="L84" s="2" t="s">
        <v>18</v>
      </c>
      <c r="M84" s="31">
        <f t="shared" si="12"/>
        <v>549.89</v>
      </c>
      <c r="N84" s="33">
        <f t="shared" si="13"/>
        <v>499.9</v>
      </c>
      <c r="O84" s="31" t="str">
        <f t="shared" si="14"/>
        <v>April</v>
      </c>
      <c r="P84" s="33">
        <f t="shared" si="15"/>
        <v>-499.9</v>
      </c>
      <c r="Q84" s="33">
        <f t="shared" si="16"/>
        <v>0.90909090909090906</v>
      </c>
      <c r="R84" s="33">
        <f t="shared" si="17"/>
        <v>49.99</v>
      </c>
      <c r="S84" s="33" t="str">
        <f t="shared" si="18"/>
        <v>Large</v>
      </c>
      <c r="T84" s="33" t="str">
        <f t="shared" si="19"/>
        <v>Low</v>
      </c>
    </row>
    <row r="85" spans="1:20" x14ac:dyDescent="0.3">
      <c r="A85" s="5" t="s">
        <v>191</v>
      </c>
      <c r="B85" s="5" t="s">
        <v>192</v>
      </c>
      <c r="C85" s="5" t="s">
        <v>55</v>
      </c>
      <c r="D85" s="5" t="s">
        <v>38</v>
      </c>
      <c r="E85" s="5" t="s">
        <v>64</v>
      </c>
      <c r="F85" s="5" t="s">
        <v>24</v>
      </c>
      <c r="G85" s="5">
        <v>3</v>
      </c>
      <c r="H85" s="6">
        <v>1299</v>
      </c>
      <c r="I85" s="6">
        <f t="shared" si="10"/>
        <v>3897</v>
      </c>
      <c r="J85" s="7">
        <v>8</v>
      </c>
      <c r="K85" s="6">
        <f t="shared" si="11"/>
        <v>3585.2400000000002</v>
      </c>
      <c r="L85" s="5" t="s">
        <v>18</v>
      </c>
      <c r="M85" s="31">
        <f t="shared" si="12"/>
        <v>3897</v>
      </c>
      <c r="N85" s="33">
        <f t="shared" si="13"/>
        <v>2598</v>
      </c>
      <c r="O85" s="31" t="str">
        <f t="shared" si="14"/>
        <v>April</v>
      </c>
      <c r="P85" s="33">
        <f t="shared" si="15"/>
        <v>-2286.2400000000002</v>
      </c>
      <c r="Q85" s="33">
        <f t="shared" si="16"/>
        <v>0.72463768115942029</v>
      </c>
      <c r="R85" s="33">
        <f t="shared" si="17"/>
        <v>1195.0800000000002</v>
      </c>
      <c r="S85" s="33" t="str">
        <f t="shared" si="18"/>
        <v>Small</v>
      </c>
      <c r="T85" s="33" t="str">
        <f t="shared" si="19"/>
        <v>Low</v>
      </c>
    </row>
    <row r="86" spans="1:20" x14ac:dyDescent="0.3">
      <c r="A86" s="11" t="s">
        <v>193</v>
      </c>
      <c r="B86" s="11" t="s">
        <v>194</v>
      </c>
      <c r="C86" s="11" t="s">
        <v>32</v>
      </c>
      <c r="D86" s="11" t="s">
        <v>33</v>
      </c>
      <c r="E86" s="11" t="s">
        <v>141</v>
      </c>
      <c r="F86" s="11" t="s">
        <v>17</v>
      </c>
      <c r="G86" s="11">
        <v>9</v>
      </c>
      <c r="H86" s="12">
        <v>169</v>
      </c>
      <c r="I86" s="12">
        <f t="shared" si="10"/>
        <v>1521</v>
      </c>
      <c r="J86" s="13">
        <v>0</v>
      </c>
      <c r="K86" s="12">
        <f t="shared" si="11"/>
        <v>1521</v>
      </c>
      <c r="L86" s="11" t="s">
        <v>72</v>
      </c>
      <c r="M86" s="31">
        <f t="shared" si="12"/>
        <v>1521</v>
      </c>
      <c r="N86" s="33">
        <f t="shared" si="13"/>
        <v>1352</v>
      </c>
      <c r="O86" s="31" t="str">
        <f t="shared" si="14"/>
        <v>April</v>
      </c>
      <c r="P86" s="33">
        <f t="shared" si="15"/>
        <v>-1352</v>
      </c>
      <c r="Q86" s="33">
        <f t="shared" si="16"/>
        <v>0.88888888888888884</v>
      </c>
      <c r="R86" s="33">
        <f t="shared" si="17"/>
        <v>169</v>
      </c>
      <c r="S86" s="33" t="str">
        <f t="shared" si="18"/>
        <v>Small</v>
      </c>
      <c r="T86" s="33" t="str">
        <f t="shared" si="19"/>
        <v>High</v>
      </c>
    </row>
    <row r="87" spans="1:20" x14ac:dyDescent="0.3">
      <c r="A87" s="5" t="s">
        <v>195</v>
      </c>
      <c r="B87" s="5" t="s">
        <v>196</v>
      </c>
      <c r="C87" s="5" t="s">
        <v>21</v>
      </c>
      <c r="D87" s="5" t="s">
        <v>22</v>
      </c>
      <c r="E87" s="5" t="s">
        <v>66</v>
      </c>
      <c r="F87" s="5" t="s">
        <v>17</v>
      </c>
      <c r="G87" s="5">
        <v>15</v>
      </c>
      <c r="H87" s="6">
        <v>549</v>
      </c>
      <c r="I87" s="6">
        <f t="shared" si="10"/>
        <v>8235</v>
      </c>
      <c r="J87" s="7">
        <v>0</v>
      </c>
      <c r="K87" s="6">
        <f t="shared" si="11"/>
        <v>8235</v>
      </c>
      <c r="L87" s="5" t="s">
        <v>18</v>
      </c>
      <c r="M87" s="31">
        <f t="shared" si="12"/>
        <v>8235</v>
      </c>
      <c r="N87" s="33">
        <f t="shared" si="13"/>
        <v>7686</v>
      </c>
      <c r="O87" s="31" t="str">
        <f t="shared" si="14"/>
        <v>April</v>
      </c>
      <c r="P87" s="33">
        <f t="shared" si="15"/>
        <v>-7686</v>
      </c>
      <c r="Q87" s="33">
        <f t="shared" si="16"/>
        <v>0.93333333333333335</v>
      </c>
      <c r="R87" s="33">
        <f t="shared" si="17"/>
        <v>549</v>
      </c>
      <c r="S87" s="33" t="str">
        <f t="shared" si="18"/>
        <v>Large</v>
      </c>
      <c r="T87" s="33" t="str">
        <f t="shared" si="19"/>
        <v>High</v>
      </c>
    </row>
    <row r="88" spans="1:20" x14ac:dyDescent="0.3">
      <c r="A88" s="11" t="s">
        <v>197</v>
      </c>
      <c r="B88" s="11" t="s">
        <v>198</v>
      </c>
      <c r="C88" s="11" t="s">
        <v>41</v>
      </c>
      <c r="D88" s="11" t="s">
        <v>15</v>
      </c>
      <c r="E88" s="11" t="s">
        <v>29</v>
      </c>
      <c r="F88" s="11" t="s">
        <v>30</v>
      </c>
      <c r="G88" s="11">
        <v>28</v>
      </c>
      <c r="H88" s="12">
        <v>29.99</v>
      </c>
      <c r="I88" s="12">
        <f t="shared" si="10"/>
        <v>839.71999999999991</v>
      </c>
      <c r="J88" s="13">
        <v>8</v>
      </c>
      <c r="K88" s="12">
        <f t="shared" si="11"/>
        <v>772.54239999999993</v>
      </c>
      <c r="L88" s="11" t="s">
        <v>72</v>
      </c>
      <c r="M88" s="31">
        <f t="shared" si="12"/>
        <v>839.71999999999991</v>
      </c>
      <c r="N88" s="33">
        <f t="shared" si="13"/>
        <v>809.7299999999999</v>
      </c>
      <c r="O88" s="31" t="str">
        <f t="shared" si="14"/>
        <v>April</v>
      </c>
      <c r="P88" s="33">
        <f t="shared" si="15"/>
        <v>-742.55239999999992</v>
      </c>
      <c r="Q88" s="33">
        <f t="shared" si="16"/>
        <v>1.0481366459627328</v>
      </c>
      <c r="R88" s="33">
        <f t="shared" si="17"/>
        <v>27.590799999999998</v>
      </c>
      <c r="S88" s="33" t="str">
        <f t="shared" si="18"/>
        <v>Large</v>
      </c>
      <c r="T88" s="33" t="str">
        <f t="shared" si="19"/>
        <v>High</v>
      </c>
    </row>
    <row r="89" spans="1:20" x14ac:dyDescent="0.3">
      <c r="A89" s="8" t="s">
        <v>199</v>
      </c>
      <c r="B89" s="8" t="s">
        <v>198</v>
      </c>
      <c r="C89" s="8" t="s">
        <v>52</v>
      </c>
      <c r="D89" s="8" t="s">
        <v>33</v>
      </c>
      <c r="E89" s="8" t="s">
        <v>29</v>
      </c>
      <c r="F89" s="8" t="s">
        <v>30</v>
      </c>
      <c r="G89" s="8">
        <v>1</v>
      </c>
      <c r="H89" s="9">
        <v>29.99</v>
      </c>
      <c r="I89" s="9">
        <f t="shared" si="10"/>
        <v>29.99</v>
      </c>
      <c r="J89" s="10">
        <v>8</v>
      </c>
      <c r="K89" s="9">
        <f t="shared" si="11"/>
        <v>27.590799999999998</v>
      </c>
      <c r="L89" s="8" t="s">
        <v>72</v>
      </c>
      <c r="M89" s="31">
        <f t="shared" si="12"/>
        <v>29.99</v>
      </c>
      <c r="N89" s="33">
        <f t="shared" si="13"/>
        <v>0</v>
      </c>
      <c r="O89" s="31" t="str">
        <f t="shared" si="14"/>
        <v>April</v>
      </c>
      <c r="P89" s="33">
        <f t="shared" si="15"/>
        <v>2.3992000000000004</v>
      </c>
      <c r="Q89" s="33">
        <f t="shared" si="16"/>
        <v>0</v>
      </c>
      <c r="R89" s="33">
        <f t="shared" si="17"/>
        <v>27.590799999999998</v>
      </c>
      <c r="S89" s="33" t="str">
        <f t="shared" si="18"/>
        <v>Small</v>
      </c>
      <c r="T89" s="33" t="str">
        <f t="shared" si="19"/>
        <v>Low</v>
      </c>
    </row>
    <row r="90" spans="1:20" x14ac:dyDescent="0.3">
      <c r="A90" s="2" t="s">
        <v>200</v>
      </c>
      <c r="B90" s="2" t="s">
        <v>201</v>
      </c>
      <c r="C90" s="2" t="s">
        <v>52</v>
      </c>
      <c r="D90" s="2" t="s">
        <v>33</v>
      </c>
      <c r="E90" s="2" t="s">
        <v>93</v>
      </c>
      <c r="F90" s="2" t="s">
        <v>24</v>
      </c>
      <c r="G90" s="2">
        <v>28</v>
      </c>
      <c r="H90" s="3">
        <v>599</v>
      </c>
      <c r="I90" s="3">
        <f t="shared" si="10"/>
        <v>16772</v>
      </c>
      <c r="J90" s="4">
        <v>12</v>
      </c>
      <c r="K90" s="3">
        <f t="shared" si="11"/>
        <v>14759.36</v>
      </c>
      <c r="L90" s="2" t="s">
        <v>18</v>
      </c>
      <c r="M90" s="31">
        <f t="shared" si="12"/>
        <v>16772</v>
      </c>
      <c r="N90" s="33">
        <f t="shared" si="13"/>
        <v>16173</v>
      </c>
      <c r="O90" s="31" t="str">
        <f t="shared" si="14"/>
        <v>April</v>
      </c>
      <c r="P90" s="33">
        <f t="shared" si="15"/>
        <v>-14160.36</v>
      </c>
      <c r="Q90" s="33">
        <f t="shared" si="16"/>
        <v>1.0957792207792207</v>
      </c>
      <c r="R90" s="33">
        <f t="shared" si="17"/>
        <v>527.12</v>
      </c>
      <c r="S90" s="33" t="str">
        <f t="shared" si="18"/>
        <v>Large</v>
      </c>
      <c r="T90" s="33" t="str">
        <f t="shared" si="19"/>
        <v>Low</v>
      </c>
    </row>
    <row r="91" spans="1:20" x14ac:dyDescent="0.3">
      <c r="A91" s="8" t="s">
        <v>202</v>
      </c>
      <c r="B91" s="8" t="s">
        <v>201</v>
      </c>
      <c r="C91" s="8" t="s">
        <v>21</v>
      </c>
      <c r="D91" s="8" t="s">
        <v>22</v>
      </c>
      <c r="E91" s="8" t="s">
        <v>46</v>
      </c>
      <c r="F91" s="8" t="s">
        <v>30</v>
      </c>
      <c r="G91" s="8">
        <v>23</v>
      </c>
      <c r="H91" s="9">
        <v>59.99</v>
      </c>
      <c r="I91" s="9">
        <f t="shared" si="10"/>
        <v>1379.77</v>
      </c>
      <c r="J91" s="10">
        <v>12</v>
      </c>
      <c r="K91" s="9">
        <f t="shared" si="11"/>
        <v>1214.1976</v>
      </c>
      <c r="L91" s="8" t="s">
        <v>72</v>
      </c>
      <c r="M91" s="31">
        <f t="shared" si="12"/>
        <v>1379.77</v>
      </c>
      <c r="N91" s="33">
        <f t="shared" si="13"/>
        <v>1319.78</v>
      </c>
      <c r="O91" s="31" t="str">
        <f t="shared" si="14"/>
        <v>April</v>
      </c>
      <c r="P91" s="33">
        <f t="shared" si="15"/>
        <v>-1154.2076</v>
      </c>
      <c r="Q91" s="33">
        <f t="shared" si="16"/>
        <v>1.0869565217391304</v>
      </c>
      <c r="R91" s="33">
        <f t="shared" si="17"/>
        <v>52.791199999999996</v>
      </c>
      <c r="S91" s="33" t="str">
        <f t="shared" si="18"/>
        <v>Large</v>
      </c>
      <c r="T91" s="33" t="str">
        <f t="shared" si="19"/>
        <v>High</v>
      </c>
    </row>
    <row r="92" spans="1:20" x14ac:dyDescent="0.3">
      <c r="A92" s="11" t="s">
        <v>203</v>
      </c>
      <c r="B92" s="11" t="s">
        <v>204</v>
      </c>
      <c r="C92" s="11" t="s">
        <v>32</v>
      </c>
      <c r="D92" s="11" t="s">
        <v>33</v>
      </c>
      <c r="E92" s="11" t="s">
        <v>43</v>
      </c>
      <c r="F92" s="11" t="s">
        <v>24</v>
      </c>
      <c r="G92" s="11">
        <v>19</v>
      </c>
      <c r="H92" s="12">
        <v>399</v>
      </c>
      <c r="I92" s="12">
        <f t="shared" si="10"/>
        <v>7581</v>
      </c>
      <c r="J92" s="13">
        <v>5</v>
      </c>
      <c r="K92" s="12">
        <f t="shared" si="11"/>
        <v>7201.95</v>
      </c>
      <c r="L92" s="11" t="s">
        <v>72</v>
      </c>
      <c r="M92" s="31">
        <f t="shared" si="12"/>
        <v>7581</v>
      </c>
      <c r="N92" s="33">
        <f t="shared" si="13"/>
        <v>7182</v>
      </c>
      <c r="O92" s="31" t="str">
        <f t="shared" si="14"/>
        <v>April</v>
      </c>
      <c r="P92" s="33">
        <f t="shared" si="15"/>
        <v>-6802.95</v>
      </c>
      <c r="Q92" s="33">
        <f t="shared" si="16"/>
        <v>0.99722991689750695</v>
      </c>
      <c r="R92" s="33">
        <f t="shared" si="17"/>
        <v>379.05</v>
      </c>
      <c r="S92" s="33" t="str">
        <f t="shared" si="18"/>
        <v>Large</v>
      </c>
      <c r="T92" s="33" t="str">
        <f t="shared" si="19"/>
        <v>High</v>
      </c>
    </row>
    <row r="93" spans="1:20" x14ac:dyDescent="0.3">
      <c r="A93" s="8" t="s">
        <v>205</v>
      </c>
      <c r="B93" s="8" t="s">
        <v>206</v>
      </c>
      <c r="C93" s="8" t="s">
        <v>80</v>
      </c>
      <c r="D93" s="8" t="s">
        <v>22</v>
      </c>
      <c r="E93" s="8" t="s">
        <v>82</v>
      </c>
      <c r="F93" s="8" t="s">
        <v>61</v>
      </c>
      <c r="G93" s="8">
        <v>16</v>
      </c>
      <c r="H93" s="9">
        <v>59.99</v>
      </c>
      <c r="I93" s="9">
        <f t="shared" si="10"/>
        <v>959.84</v>
      </c>
      <c r="J93" s="10">
        <v>8</v>
      </c>
      <c r="K93" s="9">
        <f t="shared" si="11"/>
        <v>883.05280000000005</v>
      </c>
      <c r="L93" s="8" t="s">
        <v>72</v>
      </c>
      <c r="M93" s="31">
        <f t="shared" si="12"/>
        <v>959.84</v>
      </c>
      <c r="N93" s="33">
        <f t="shared" si="13"/>
        <v>899.85</v>
      </c>
      <c r="O93" s="31" t="str">
        <f t="shared" si="14"/>
        <v>April</v>
      </c>
      <c r="P93" s="33">
        <f t="shared" si="15"/>
        <v>-823.06280000000004</v>
      </c>
      <c r="Q93" s="33">
        <f t="shared" si="16"/>
        <v>1.0190217391304348</v>
      </c>
      <c r="R93" s="33">
        <f t="shared" si="17"/>
        <v>55.190800000000003</v>
      </c>
      <c r="S93" s="33" t="str">
        <f t="shared" si="18"/>
        <v>Large</v>
      </c>
      <c r="T93" s="33" t="str">
        <f t="shared" si="19"/>
        <v>High</v>
      </c>
    </row>
    <row r="94" spans="1:20" x14ac:dyDescent="0.3">
      <c r="A94" s="2" t="s">
        <v>207</v>
      </c>
      <c r="B94" s="2" t="s">
        <v>208</v>
      </c>
      <c r="C94" s="2" t="s">
        <v>14</v>
      </c>
      <c r="D94" s="2" t="s">
        <v>15</v>
      </c>
      <c r="E94" s="2" t="s">
        <v>60</v>
      </c>
      <c r="F94" s="2" t="s">
        <v>61</v>
      </c>
      <c r="G94" s="2">
        <v>12</v>
      </c>
      <c r="H94" s="3">
        <v>49.99</v>
      </c>
      <c r="I94" s="3">
        <f t="shared" si="10"/>
        <v>599.88</v>
      </c>
      <c r="J94" s="4">
        <v>15</v>
      </c>
      <c r="K94" s="3">
        <f t="shared" si="11"/>
        <v>509.89799999999997</v>
      </c>
      <c r="L94" s="2" t="s">
        <v>18</v>
      </c>
      <c r="M94" s="31">
        <f t="shared" si="12"/>
        <v>599.88</v>
      </c>
      <c r="N94" s="33">
        <f t="shared" si="13"/>
        <v>549.89</v>
      </c>
      <c r="O94" s="31" t="str">
        <f t="shared" si="14"/>
        <v>April</v>
      </c>
      <c r="P94" s="33">
        <f t="shared" si="15"/>
        <v>-459.90799999999996</v>
      </c>
      <c r="Q94" s="33">
        <f t="shared" si="16"/>
        <v>1.0784313725490196</v>
      </c>
      <c r="R94" s="33">
        <f t="shared" si="17"/>
        <v>42.491499999999995</v>
      </c>
      <c r="S94" s="33" t="str">
        <f t="shared" si="18"/>
        <v>Large</v>
      </c>
      <c r="T94" s="33" t="str">
        <f t="shared" si="19"/>
        <v>Low</v>
      </c>
    </row>
    <row r="95" spans="1:20" x14ac:dyDescent="0.3">
      <c r="A95" s="14" t="s">
        <v>209</v>
      </c>
      <c r="B95" s="14" t="s">
        <v>210</v>
      </c>
      <c r="C95" s="14" t="s">
        <v>55</v>
      </c>
      <c r="D95" s="14" t="s">
        <v>38</v>
      </c>
      <c r="E95" s="14" t="s">
        <v>147</v>
      </c>
      <c r="F95" s="14" t="s">
        <v>24</v>
      </c>
      <c r="G95" s="14">
        <v>9</v>
      </c>
      <c r="H95" s="15">
        <v>79.989999999999995</v>
      </c>
      <c r="I95" s="15">
        <f t="shared" si="10"/>
        <v>719.91</v>
      </c>
      <c r="J95" s="16">
        <v>0</v>
      </c>
      <c r="K95" s="15">
        <f t="shared" si="11"/>
        <v>719.91</v>
      </c>
      <c r="L95" s="14" t="s">
        <v>132</v>
      </c>
      <c r="M95" s="31">
        <f t="shared" si="12"/>
        <v>719.91</v>
      </c>
      <c r="N95" s="33">
        <f t="shared" si="13"/>
        <v>639.91999999999996</v>
      </c>
      <c r="O95" s="31" t="str">
        <f t="shared" si="14"/>
        <v>April</v>
      </c>
      <c r="P95" s="33">
        <f t="shared" si="15"/>
        <v>-639.91999999999996</v>
      </c>
      <c r="Q95" s="33">
        <f t="shared" si="16"/>
        <v>0.88888888888888884</v>
      </c>
      <c r="R95" s="33">
        <f t="shared" si="17"/>
        <v>79.989999999999995</v>
      </c>
      <c r="S95" s="33" t="str">
        <f t="shared" si="18"/>
        <v>Small</v>
      </c>
      <c r="T95" s="33" t="str">
        <f t="shared" si="19"/>
        <v>Low</v>
      </c>
    </row>
    <row r="96" spans="1:20" x14ac:dyDescent="0.3">
      <c r="A96" s="17" t="s">
        <v>211</v>
      </c>
      <c r="B96" s="17" t="s">
        <v>210</v>
      </c>
      <c r="C96" s="17" t="s">
        <v>32</v>
      </c>
      <c r="D96" s="17" t="s">
        <v>33</v>
      </c>
      <c r="E96" s="17" t="s">
        <v>147</v>
      </c>
      <c r="F96" s="17" t="s">
        <v>24</v>
      </c>
      <c r="G96" s="17">
        <v>21</v>
      </c>
      <c r="H96" s="18">
        <v>79.989999999999995</v>
      </c>
      <c r="I96" s="18">
        <f t="shared" si="10"/>
        <v>1679.79</v>
      </c>
      <c r="J96" s="19">
        <v>0</v>
      </c>
      <c r="K96" s="18">
        <f t="shared" si="11"/>
        <v>1679.79</v>
      </c>
      <c r="L96" s="17" t="s">
        <v>132</v>
      </c>
      <c r="M96" s="31">
        <f t="shared" si="12"/>
        <v>1679.79</v>
      </c>
      <c r="N96" s="33">
        <f t="shared" si="13"/>
        <v>1599.8</v>
      </c>
      <c r="O96" s="31" t="str">
        <f t="shared" si="14"/>
        <v>April</v>
      </c>
      <c r="P96" s="33">
        <f t="shared" si="15"/>
        <v>-1599.8</v>
      </c>
      <c r="Q96" s="33">
        <f t="shared" si="16"/>
        <v>0.95238095238095233</v>
      </c>
      <c r="R96" s="33">
        <f t="shared" si="17"/>
        <v>79.989999999999995</v>
      </c>
      <c r="S96" s="33" t="str">
        <f t="shared" si="18"/>
        <v>Large</v>
      </c>
      <c r="T96" s="33" t="str">
        <f t="shared" si="19"/>
        <v>Low</v>
      </c>
    </row>
    <row r="97" spans="1:20" x14ac:dyDescent="0.3">
      <c r="A97" s="5" t="s">
        <v>212</v>
      </c>
      <c r="B97" s="5" t="s">
        <v>210</v>
      </c>
      <c r="C97" s="5" t="s">
        <v>32</v>
      </c>
      <c r="D97" s="5" t="s">
        <v>33</v>
      </c>
      <c r="E97" s="5" t="s">
        <v>34</v>
      </c>
      <c r="F97" s="5" t="s">
        <v>30</v>
      </c>
      <c r="G97" s="5">
        <v>28</v>
      </c>
      <c r="H97" s="6">
        <v>19.989999999999998</v>
      </c>
      <c r="I97" s="6">
        <f t="shared" si="10"/>
        <v>559.71999999999991</v>
      </c>
      <c r="J97" s="7">
        <v>12</v>
      </c>
      <c r="K97" s="6">
        <f t="shared" si="11"/>
        <v>492.5535999999999</v>
      </c>
      <c r="L97" s="5" t="s">
        <v>18</v>
      </c>
      <c r="M97" s="31">
        <f t="shared" si="12"/>
        <v>559.71999999999991</v>
      </c>
      <c r="N97" s="33">
        <f t="shared" si="13"/>
        <v>539.7299999999999</v>
      </c>
      <c r="O97" s="31" t="str">
        <f t="shared" si="14"/>
        <v>April</v>
      </c>
      <c r="P97" s="33">
        <f t="shared" si="15"/>
        <v>-472.56359999999989</v>
      </c>
      <c r="Q97" s="33">
        <f t="shared" si="16"/>
        <v>1.0957792207792207</v>
      </c>
      <c r="R97" s="33">
        <f t="shared" si="17"/>
        <v>17.591199999999997</v>
      </c>
      <c r="S97" s="33" t="str">
        <f t="shared" si="18"/>
        <v>Large</v>
      </c>
      <c r="T97" s="33" t="str">
        <f t="shared" si="19"/>
        <v>High</v>
      </c>
    </row>
    <row r="98" spans="1:20" x14ac:dyDescent="0.3">
      <c r="A98" s="2" t="s">
        <v>213</v>
      </c>
      <c r="B98" s="2" t="s">
        <v>214</v>
      </c>
      <c r="C98" s="2" t="s">
        <v>14</v>
      </c>
      <c r="D98" s="2" t="s">
        <v>15</v>
      </c>
      <c r="E98" s="2" t="s">
        <v>77</v>
      </c>
      <c r="F98" s="2" t="s">
        <v>61</v>
      </c>
      <c r="G98" s="2">
        <v>16</v>
      </c>
      <c r="H98" s="3">
        <v>149</v>
      </c>
      <c r="I98" s="3">
        <f t="shared" si="10"/>
        <v>2384</v>
      </c>
      <c r="J98" s="4">
        <v>5</v>
      </c>
      <c r="K98" s="3">
        <f t="shared" si="11"/>
        <v>2264.7999999999997</v>
      </c>
      <c r="L98" s="2" t="s">
        <v>18</v>
      </c>
      <c r="M98" s="31">
        <f t="shared" si="12"/>
        <v>2384</v>
      </c>
      <c r="N98" s="33">
        <f t="shared" si="13"/>
        <v>2235</v>
      </c>
      <c r="O98" s="31" t="str">
        <f t="shared" si="14"/>
        <v>April</v>
      </c>
      <c r="P98" s="33">
        <f t="shared" si="15"/>
        <v>-2115.7999999999997</v>
      </c>
      <c r="Q98" s="33">
        <f t="shared" si="16"/>
        <v>0.98684210526315796</v>
      </c>
      <c r="R98" s="33">
        <f t="shared" si="17"/>
        <v>141.54999999999998</v>
      </c>
      <c r="S98" s="33" t="str">
        <f t="shared" si="18"/>
        <v>Large</v>
      </c>
      <c r="T98" s="33" t="str">
        <f t="shared" si="19"/>
        <v>Low</v>
      </c>
    </row>
    <row r="99" spans="1:20" x14ac:dyDescent="0.3">
      <c r="A99" s="8" t="s">
        <v>215</v>
      </c>
      <c r="B99" s="8" t="s">
        <v>216</v>
      </c>
      <c r="C99" s="8" t="s">
        <v>28</v>
      </c>
      <c r="D99" s="8" t="s">
        <v>22</v>
      </c>
      <c r="E99" s="8" t="s">
        <v>99</v>
      </c>
      <c r="F99" s="8" t="s">
        <v>30</v>
      </c>
      <c r="G99" s="8">
        <v>26</v>
      </c>
      <c r="H99" s="9">
        <v>89.99</v>
      </c>
      <c r="I99" s="9">
        <f t="shared" si="10"/>
        <v>2339.7399999999998</v>
      </c>
      <c r="J99" s="10">
        <v>0</v>
      </c>
      <c r="K99" s="9">
        <f t="shared" si="11"/>
        <v>2339.7399999999998</v>
      </c>
      <c r="L99" s="8" t="s">
        <v>72</v>
      </c>
      <c r="M99" s="31">
        <f t="shared" si="12"/>
        <v>2339.7399999999998</v>
      </c>
      <c r="N99" s="33">
        <f t="shared" si="13"/>
        <v>2249.75</v>
      </c>
      <c r="O99" s="31" t="str">
        <f t="shared" si="14"/>
        <v>April</v>
      </c>
      <c r="P99" s="33">
        <f t="shared" si="15"/>
        <v>-2249.75</v>
      </c>
      <c r="Q99" s="33">
        <f t="shared" si="16"/>
        <v>0.96153846153846168</v>
      </c>
      <c r="R99" s="33">
        <f t="shared" si="17"/>
        <v>89.99</v>
      </c>
      <c r="S99" s="33" t="str">
        <f t="shared" si="18"/>
        <v>Large</v>
      </c>
      <c r="T99" s="33" t="str">
        <f t="shared" si="19"/>
        <v>High</v>
      </c>
    </row>
    <row r="100" spans="1:20" x14ac:dyDescent="0.3">
      <c r="A100" s="2" t="s">
        <v>217</v>
      </c>
      <c r="B100" s="2" t="s">
        <v>218</v>
      </c>
      <c r="C100" s="2" t="s">
        <v>28</v>
      </c>
      <c r="D100" s="2" t="s">
        <v>22</v>
      </c>
      <c r="E100" s="2" t="s">
        <v>39</v>
      </c>
      <c r="F100" s="2" t="s">
        <v>17</v>
      </c>
      <c r="G100" s="2">
        <v>9</v>
      </c>
      <c r="H100" s="3">
        <v>299</v>
      </c>
      <c r="I100" s="3">
        <f t="shared" si="10"/>
        <v>2691</v>
      </c>
      <c r="J100" s="4">
        <v>5</v>
      </c>
      <c r="K100" s="3">
        <f t="shared" si="11"/>
        <v>2556.4499999999998</v>
      </c>
      <c r="L100" s="2" t="s">
        <v>18</v>
      </c>
      <c r="M100" s="31">
        <f t="shared" si="12"/>
        <v>2691</v>
      </c>
      <c r="N100" s="33">
        <f t="shared" si="13"/>
        <v>2392</v>
      </c>
      <c r="O100" s="31" t="str">
        <f t="shared" si="14"/>
        <v>April</v>
      </c>
      <c r="P100" s="33">
        <f t="shared" si="15"/>
        <v>-2257.4499999999998</v>
      </c>
      <c r="Q100" s="33">
        <f t="shared" si="16"/>
        <v>0.9356725146198831</v>
      </c>
      <c r="R100" s="33">
        <f t="shared" si="17"/>
        <v>284.04999999999995</v>
      </c>
      <c r="S100" s="33" t="str">
        <f t="shared" si="18"/>
        <v>Small</v>
      </c>
      <c r="T100" s="33" t="str">
        <f t="shared" si="19"/>
        <v>High</v>
      </c>
    </row>
    <row r="101" spans="1:20" x14ac:dyDescent="0.3">
      <c r="A101" s="5" t="s">
        <v>219</v>
      </c>
      <c r="B101" s="5" t="s">
        <v>220</v>
      </c>
      <c r="C101" s="5" t="s">
        <v>37</v>
      </c>
      <c r="D101" s="5" t="s">
        <v>38</v>
      </c>
      <c r="E101" s="5" t="s">
        <v>71</v>
      </c>
      <c r="F101" s="5" t="s">
        <v>24</v>
      </c>
      <c r="G101" s="5">
        <v>25</v>
      </c>
      <c r="H101" s="6">
        <v>249</v>
      </c>
      <c r="I101" s="6">
        <f t="shared" si="10"/>
        <v>6225</v>
      </c>
      <c r="J101" s="7">
        <v>15</v>
      </c>
      <c r="K101" s="6">
        <f t="shared" si="11"/>
        <v>5291.25</v>
      </c>
      <c r="L101" s="5" t="s">
        <v>18</v>
      </c>
      <c r="M101" s="31">
        <f t="shared" si="12"/>
        <v>6225</v>
      </c>
      <c r="N101" s="33">
        <f t="shared" si="13"/>
        <v>5976</v>
      </c>
      <c r="O101" s="31" t="str">
        <f t="shared" si="14"/>
        <v>April</v>
      </c>
      <c r="P101" s="33">
        <f t="shared" si="15"/>
        <v>-5042.25</v>
      </c>
      <c r="Q101" s="33">
        <f t="shared" si="16"/>
        <v>1.1294117647058823</v>
      </c>
      <c r="R101" s="33">
        <f t="shared" si="17"/>
        <v>211.65</v>
      </c>
      <c r="S101" s="33" t="str">
        <f t="shared" si="18"/>
        <v>Large</v>
      </c>
      <c r="T101" s="33" t="str">
        <f t="shared" si="19"/>
        <v>High</v>
      </c>
    </row>
    <row r="102" spans="1:20" x14ac:dyDescent="0.3">
      <c r="A102" s="2" t="s">
        <v>221</v>
      </c>
      <c r="B102" s="2" t="s">
        <v>222</v>
      </c>
      <c r="C102" s="2" t="s">
        <v>37</v>
      </c>
      <c r="D102" s="2" t="s">
        <v>38</v>
      </c>
      <c r="E102" s="2" t="s">
        <v>103</v>
      </c>
      <c r="F102" s="2" t="s">
        <v>61</v>
      </c>
      <c r="G102" s="2">
        <v>28</v>
      </c>
      <c r="H102" s="3">
        <v>99</v>
      </c>
      <c r="I102" s="3">
        <f t="shared" si="10"/>
        <v>2772</v>
      </c>
      <c r="J102" s="4">
        <v>8</v>
      </c>
      <c r="K102" s="3">
        <f t="shared" si="11"/>
        <v>2550.2400000000002</v>
      </c>
      <c r="L102" s="2" t="s">
        <v>18</v>
      </c>
      <c r="M102" s="31">
        <f t="shared" si="12"/>
        <v>2772</v>
      </c>
      <c r="N102" s="33">
        <f t="shared" si="13"/>
        <v>2673</v>
      </c>
      <c r="O102" s="31" t="str">
        <f t="shared" si="14"/>
        <v>April</v>
      </c>
      <c r="P102" s="33">
        <f t="shared" si="15"/>
        <v>-2451.2400000000002</v>
      </c>
      <c r="Q102" s="33">
        <f t="shared" si="16"/>
        <v>1.0481366459627328</v>
      </c>
      <c r="R102" s="33">
        <f t="shared" si="17"/>
        <v>91.080000000000013</v>
      </c>
      <c r="S102" s="33" t="str">
        <f t="shared" si="18"/>
        <v>Large</v>
      </c>
      <c r="T102" s="33" t="str">
        <f t="shared" si="19"/>
        <v>High</v>
      </c>
    </row>
    <row r="103" spans="1:20" x14ac:dyDescent="0.3">
      <c r="A103" s="5" t="s">
        <v>223</v>
      </c>
      <c r="B103" s="5" t="s">
        <v>224</v>
      </c>
      <c r="C103" s="5" t="s">
        <v>52</v>
      </c>
      <c r="D103" s="5" t="s">
        <v>33</v>
      </c>
      <c r="E103" s="5" t="s">
        <v>87</v>
      </c>
      <c r="F103" s="5" t="s">
        <v>61</v>
      </c>
      <c r="G103" s="5">
        <v>8</v>
      </c>
      <c r="H103" s="6">
        <v>299</v>
      </c>
      <c r="I103" s="6">
        <f t="shared" si="10"/>
        <v>2392</v>
      </c>
      <c r="J103" s="7">
        <v>0</v>
      </c>
      <c r="K103" s="6">
        <f t="shared" si="11"/>
        <v>2392</v>
      </c>
      <c r="L103" s="5" t="s">
        <v>18</v>
      </c>
      <c r="M103" s="31">
        <f t="shared" si="12"/>
        <v>2392</v>
      </c>
      <c r="N103" s="33">
        <f t="shared" si="13"/>
        <v>2093</v>
      </c>
      <c r="O103" s="31" t="str">
        <f t="shared" si="14"/>
        <v>May</v>
      </c>
      <c r="P103" s="33">
        <f t="shared" si="15"/>
        <v>-2093</v>
      </c>
      <c r="Q103" s="33">
        <f t="shared" si="16"/>
        <v>0.875</v>
      </c>
      <c r="R103" s="33">
        <f t="shared" si="17"/>
        <v>299</v>
      </c>
      <c r="S103" s="33" t="str">
        <f t="shared" si="18"/>
        <v>Small</v>
      </c>
      <c r="T103" s="33" t="str">
        <f t="shared" si="19"/>
        <v>High</v>
      </c>
    </row>
    <row r="104" spans="1:20" x14ac:dyDescent="0.3">
      <c r="A104" s="2" t="s">
        <v>225</v>
      </c>
      <c r="B104" s="2" t="s">
        <v>224</v>
      </c>
      <c r="C104" s="2" t="s">
        <v>28</v>
      </c>
      <c r="D104" s="2" t="s">
        <v>22</v>
      </c>
      <c r="E104" s="2" t="s">
        <v>147</v>
      </c>
      <c r="F104" s="2" t="s">
        <v>24</v>
      </c>
      <c r="G104" s="2">
        <v>21</v>
      </c>
      <c r="H104" s="3">
        <v>79.989999999999995</v>
      </c>
      <c r="I104" s="3">
        <f t="shared" si="10"/>
        <v>1679.79</v>
      </c>
      <c r="J104" s="4">
        <v>8</v>
      </c>
      <c r="K104" s="3">
        <f t="shared" si="11"/>
        <v>1545.4068</v>
      </c>
      <c r="L104" s="2" t="s">
        <v>18</v>
      </c>
      <c r="M104" s="31">
        <f t="shared" si="12"/>
        <v>1679.79</v>
      </c>
      <c r="N104" s="33">
        <f t="shared" si="13"/>
        <v>1599.8</v>
      </c>
      <c r="O104" s="31" t="str">
        <f t="shared" si="14"/>
        <v>May</v>
      </c>
      <c r="P104" s="33">
        <f t="shared" si="15"/>
        <v>-1465.4168</v>
      </c>
      <c r="Q104" s="33">
        <f t="shared" si="16"/>
        <v>1.0351966873706004</v>
      </c>
      <c r="R104" s="33">
        <f t="shared" si="17"/>
        <v>73.590800000000002</v>
      </c>
      <c r="S104" s="33" t="str">
        <f t="shared" si="18"/>
        <v>Large</v>
      </c>
      <c r="T104" s="33" t="str">
        <f t="shared" si="19"/>
        <v>High</v>
      </c>
    </row>
    <row r="105" spans="1:20" x14ac:dyDescent="0.3">
      <c r="A105" s="5" t="s">
        <v>226</v>
      </c>
      <c r="B105" s="5" t="s">
        <v>227</v>
      </c>
      <c r="C105" s="5" t="s">
        <v>14</v>
      </c>
      <c r="D105" s="5" t="s">
        <v>15</v>
      </c>
      <c r="E105" s="5" t="s">
        <v>74</v>
      </c>
      <c r="F105" s="5" t="s">
        <v>30</v>
      </c>
      <c r="G105" s="5">
        <v>15</v>
      </c>
      <c r="H105" s="6">
        <v>49.99</v>
      </c>
      <c r="I105" s="6">
        <f t="shared" si="10"/>
        <v>749.85</v>
      </c>
      <c r="J105" s="7">
        <v>12</v>
      </c>
      <c r="K105" s="6">
        <f t="shared" si="11"/>
        <v>659.86800000000005</v>
      </c>
      <c r="L105" s="5" t="s">
        <v>18</v>
      </c>
      <c r="M105" s="31">
        <f t="shared" si="12"/>
        <v>749.85</v>
      </c>
      <c r="N105" s="33">
        <f t="shared" si="13"/>
        <v>699.86</v>
      </c>
      <c r="O105" s="31" t="str">
        <f t="shared" si="14"/>
        <v>May</v>
      </c>
      <c r="P105" s="33">
        <f t="shared" si="15"/>
        <v>-609.87800000000004</v>
      </c>
      <c r="Q105" s="33">
        <f t="shared" si="16"/>
        <v>1.0606060606060606</v>
      </c>
      <c r="R105" s="33">
        <f t="shared" si="17"/>
        <v>43.991200000000006</v>
      </c>
      <c r="S105" s="33" t="str">
        <f t="shared" si="18"/>
        <v>Large</v>
      </c>
      <c r="T105" s="33" t="str">
        <f t="shared" si="19"/>
        <v>High</v>
      </c>
    </row>
    <row r="106" spans="1:20" x14ac:dyDescent="0.3">
      <c r="A106" s="2" t="s">
        <v>228</v>
      </c>
      <c r="B106" s="2" t="s">
        <v>229</v>
      </c>
      <c r="C106" s="2" t="s">
        <v>41</v>
      </c>
      <c r="D106" s="2" t="s">
        <v>15</v>
      </c>
      <c r="E106" s="2" t="s">
        <v>43</v>
      </c>
      <c r="F106" s="2" t="s">
        <v>24</v>
      </c>
      <c r="G106" s="2">
        <v>25</v>
      </c>
      <c r="H106" s="3">
        <v>399</v>
      </c>
      <c r="I106" s="3">
        <f t="shared" si="10"/>
        <v>9975</v>
      </c>
      <c r="J106" s="4">
        <v>15</v>
      </c>
      <c r="K106" s="3">
        <f t="shared" si="11"/>
        <v>8478.75</v>
      </c>
      <c r="L106" s="2" t="s">
        <v>18</v>
      </c>
      <c r="M106" s="31">
        <f t="shared" si="12"/>
        <v>9975</v>
      </c>
      <c r="N106" s="33">
        <f t="shared" si="13"/>
        <v>9576</v>
      </c>
      <c r="O106" s="31" t="str">
        <f t="shared" si="14"/>
        <v>May</v>
      </c>
      <c r="P106" s="33">
        <f t="shared" si="15"/>
        <v>-8079.75</v>
      </c>
      <c r="Q106" s="33">
        <f t="shared" si="16"/>
        <v>1.1294117647058823</v>
      </c>
      <c r="R106" s="33">
        <f t="shared" si="17"/>
        <v>339.15</v>
      </c>
      <c r="S106" s="33" t="str">
        <f t="shared" si="18"/>
        <v>Large</v>
      </c>
      <c r="T106" s="33" t="str">
        <f t="shared" si="19"/>
        <v>Low</v>
      </c>
    </row>
    <row r="107" spans="1:20" x14ac:dyDescent="0.3">
      <c r="A107" s="5" t="s">
        <v>230</v>
      </c>
      <c r="B107" s="5" t="s">
        <v>231</v>
      </c>
      <c r="C107" s="5" t="s">
        <v>52</v>
      </c>
      <c r="D107" s="5" t="s">
        <v>33</v>
      </c>
      <c r="E107" s="5" t="s">
        <v>141</v>
      </c>
      <c r="F107" s="5" t="s">
        <v>17</v>
      </c>
      <c r="G107" s="5">
        <v>5</v>
      </c>
      <c r="H107" s="6">
        <v>169</v>
      </c>
      <c r="I107" s="6">
        <f t="shared" si="10"/>
        <v>845</v>
      </c>
      <c r="J107" s="7">
        <v>0</v>
      </c>
      <c r="K107" s="6">
        <f t="shared" si="11"/>
        <v>845</v>
      </c>
      <c r="L107" s="5" t="s">
        <v>18</v>
      </c>
      <c r="M107" s="31">
        <f t="shared" si="12"/>
        <v>845</v>
      </c>
      <c r="N107" s="33">
        <f t="shared" si="13"/>
        <v>676</v>
      </c>
      <c r="O107" s="31" t="str">
        <f t="shared" si="14"/>
        <v>May</v>
      </c>
      <c r="P107" s="33">
        <f t="shared" si="15"/>
        <v>-676</v>
      </c>
      <c r="Q107" s="33">
        <f t="shared" si="16"/>
        <v>0.8</v>
      </c>
      <c r="R107" s="33">
        <f t="shared" si="17"/>
        <v>169</v>
      </c>
      <c r="S107" s="33" t="str">
        <f t="shared" si="18"/>
        <v>Small</v>
      </c>
      <c r="T107" s="33" t="str">
        <f t="shared" si="19"/>
        <v>High</v>
      </c>
    </row>
    <row r="108" spans="1:20" x14ac:dyDescent="0.3">
      <c r="A108" s="2" t="s">
        <v>232</v>
      </c>
      <c r="B108" s="2" t="s">
        <v>233</v>
      </c>
      <c r="C108" s="2" t="s">
        <v>49</v>
      </c>
      <c r="D108" s="2" t="s">
        <v>38</v>
      </c>
      <c r="E108" s="2" t="s">
        <v>16</v>
      </c>
      <c r="F108" s="2" t="s">
        <v>17</v>
      </c>
      <c r="G108" s="2">
        <v>5</v>
      </c>
      <c r="H108" s="3">
        <v>129</v>
      </c>
      <c r="I108" s="3">
        <f t="shared" si="10"/>
        <v>645</v>
      </c>
      <c r="J108" s="4">
        <v>10</v>
      </c>
      <c r="K108" s="3">
        <f t="shared" si="11"/>
        <v>580.5</v>
      </c>
      <c r="L108" s="2" t="s">
        <v>18</v>
      </c>
      <c r="M108" s="31">
        <f t="shared" si="12"/>
        <v>645</v>
      </c>
      <c r="N108" s="33">
        <f t="shared" si="13"/>
        <v>516</v>
      </c>
      <c r="O108" s="31" t="str">
        <f t="shared" si="14"/>
        <v>May</v>
      </c>
      <c r="P108" s="33">
        <f t="shared" si="15"/>
        <v>-451.5</v>
      </c>
      <c r="Q108" s="33">
        <f t="shared" si="16"/>
        <v>0.88888888888888884</v>
      </c>
      <c r="R108" s="33">
        <f t="shared" si="17"/>
        <v>116.1</v>
      </c>
      <c r="S108" s="33" t="str">
        <f t="shared" si="18"/>
        <v>Small</v>
      </c>
      <c r="T108" s="33" t="str">
        <f t="shared" si="19"/>
        <v>Low</v>
      </c>
    </row>
    <row r="109" spans="1:20" x14ac:dyDescent="0.3">
      <c r="A109" s="5" t="s">
        <v>234</v>
      </c>
      <c r="B109" s="5" t="s">
        <v>233</v>
      </c>
      <c r="C109" s="5" t="s">
        <v>21</v>
      </c>
      <c r="D109" s="5" t="s">
        <v>22</v>
      </c>
      <c r="E109" s="5" t="s">
        <v>46</v>
      </c>
      <c r="F109" s="5" t="s">
        <v>30</v>
      </c>
      <c r="G109" s="5">
        <v>13</v>
      </c>
      <c r="H109" s="6">
        <v>59.99</v>
      </c>
      <c r="I109" s="6">
        <f t="shared" si="10"/>
        <v>779.87</v>
      </c>
      <c r="J109" s="7">
        <v>5</v>
      </c>
      <c r="K109" s="6">
        <f t="shared" si="11"/>
        <v>740.87649999999996</v>
      </c>
      <c r="L109" s="5" t="s">
        <v>18</v>
      </c>
      <c r="M109" s="31">
        <f t="shared" si="12"/>
        <v>779.87</v>
      </c>
      <c r="N109" s="33">
        <f t="shared" si="13"/>
        <v>719.88</v>
      </c>
      <c r="O109" s="31" t="str">
        <f t="shared" si="14"/>
        <v>May</v>
      </c>
      <c r="P109" s="33">
        <f t="shared" si="15"/>
        <v>-680.88649999999996</v>
      </c>
      <c r="Q109" s="33">
        <f t="shared" si="16"/>
        <v>0.97165991902834015</v>
      </c>
      <c r="R109" s="33">
        <f t="shared" si="17"/>
        <v>56.990499999999997</v>
      </c>
      <c r="S109" s="33" t="str">
        <f t="shared" si="18"/>
        <v>Large</v>
      </c>
      <c r="T109" s="33" t="str">
        <f t="shared" si="19"/>
        <v>Low</v>
      </c>
    </row>
    <row r="110" spans="1:20" x14ac:dyDescent="0.3">
      <c r="A110" s="2" t="s">
        <v>235</v>
      </c>
      <c r="B110" s="2" t="s">
        <v>233</v>
      </c>
      <c r="C110" s="2" t="s">
        <v>21</v>
      </c>
      <c r="D110" s="2" t="s">
        <v>22</v>
      </c>
      <c r="E110" s="2" t="s">
        <v>103</v>
      </c>
      <c r="F110" s="2" t="s">
        <v>61</v>
      </c>
      <c r="G110" s="2">
        <v>6</v>
      </c>
      <c r="H110" s="3">
        <v>99</v>
      </c>
      <c r="I110" s="3">
        <f t="shared" si="10"/>
        <v>594</v>
      </c>
      <c r="J110" s="4">
        <v>12</v>
      </c>
      <c r="K110" s="3">
        <f t="shared" si="11"/>
        <v>522.72</v>
      </c>
      <c r="L110" s="2" t="s">
        <v>18</v>
      </c>
      <c r="M110" s="31">
        <f t="shared" si="12"/>
        <v>594</v>
      </c>
      <c r="N110" s="33">
        <f t="shared" si="13"/>
        <v>495</v>
      </c>
      <c r="O110" s="31" t="str">
        <f t="shared" si="14"/>
        <v>May</v>
      </c>
      <c r="P110" s="33">
        <f t="shared" si="15"/>
        <v>-423.72</v>
      </c>
      <c r="Q110" s="33">
        <f t="shared" si="16"/>
        <v>0.94696969696969691</v>
      </c>
      <c r="R110" s="33">
        <f t="shared" si="17"/>
        <v>87.12</v>
      </c>
      <c r="S110" s="33" t="str">
        <f t="shared" si="18"/>
        <v>Small</v>
      </c>
      <c r="T110" s="33" t="str">
        <f t="shared" si="19"/>
        <v>Low</v>
      </c>
    </row>
    <row r="111" spans="1:20" x14ac:dyDescent="0.3">
      <c r="A111" s="8" t="s">
        <v>236</v>
      </c>
      <c r="B111" s="8" t="s">
        <v>233</v>
      </c>
      <c r="C111" s="8" t="s">
        <v>21</v>
      </c>
      <c r="D111" s="8" t="s">
        <v>22</v>
      </c>
      <c r="E111" s="8" t="s">
        <v>82</v>
      </c>
      <c r="F111" s="8" t="s">
        <v>61</v>
      </c>
      <c r="G111" s="8">
        <v>26</v>
      </c>
      <c r="H111" s="9">
        <v>59.99</v>
      </c>
      <c r="I111" s="9">
        <f t="shared" si="10"/>
        <v>1559.74</v>
      </c>
      <c r="J111" s="10">
        <v>8</v>
      </c>
      <c r="K111" s="9">
        <f t="shared" si="11"/>
        <v>1434.9608000000001</v>
      </c>
      <c r="L111" s="8" t="s">
        <v>72</v>
      </c>
      <c r="M111" s="31">
        <f t="shared" si="12"/>
        <v>1559.74</v>
      </c>
      <c r="N111" s="33">
        <f t="shared" si="13"/>
        <v>1499.75</v>
      </c>
      <c r="O111" s="31" t="str">
        <f t="shared" si="14"/>
        <v>May</v>
      </c>
      <c r="P111" s="33">
        <f t="shared" si="15"/>
        <v>-1374.9708000000001</v>
      </c>
      <c r="Q111" s="33">
        <f t="shared" si="16"/>
        <v>1.0451505016722407</v>
      </c>
      <c r="R111" s="33">
        <f t="shared" si="17"/>
        <v>55.190800000000003</v>
      </c>
      <c r="S111" s="33" t="str">
        <f t="shared" si="18"/>
        <v>Large</v>
      </c>
      <c r="T111" s="33" t="str">
        <f t="shared" si="19"/>
        <v>Low</v>
      </c>
    </row>
    <row r="112" spans="1:20" x14ac:dyDescent="0.3">
      <c r="A112" s="2" t="s">
        <v>237</v>
      </c>
      <c r="B112" s="2" t="s">
        <v>238</v>
      </c>
      <c r="C112" s="2" t="s">
        <v>28</v>
      </c>
      <c r="D112" s="2" t="s">
        <v>22</v>
      </c>
      <c r="E112" s="2" t="s">
        <v>99</v>
      </c>
      <c r="F112" s="2" t="s">
        <v>30</v>
      </c>
      <c r="G112" s="2">
        <v>27</v>
      </c>
      <c r="H112" s="3">
        <v>89.99</v>
      </c>
      <c r="I112" s="3">
        <f t="shared" si="10"/>
        <v>2429.73</v>
      </c>
      <c r="J112" s="4">
        <v>0</v>
      </c>
      <c r="K112" s="3">
        <f t="shared" si="11"/>
        <v>2429.73</v>
      </c>
      <c r="L112" s="2" t="s">
        <v>18</v>
      </c>
      <c r="M112" s="31">
        <f t="shared" si="12"/>
        <v>2429.73</v>
      </c>
      <c r="N112" s="33">
        <f t="shared" si="13"/>
        <v>2339.7400000000002</v>
      </c>
      <c r="O112" s="31" t="str">
        <f t="shared" si="14"/>
        <v>May</v>
      </c>
      <c r="P112" s="33">
        <f t="shared" si="15"/>
        <v>-2339.7400000000002</v>
      </c>
      <c r="Q112" s="33">
        <f t="shared" si="16"/>
        <v>0.96296296296296302</v>
      </c>
      <c r="R112" s="33">
        <f t="shared" si="17"/>
        <v>89.99</v>
      </c>
      <c r="S112" s="33" t="str">
        <f t="shared" si="18"/>
        <v>Large</v>
      </c>
      <c r="T112" s="33" t="str">
        <f t="shared" si="19"/>
        <v>High</v>
      </c>
    </row>
    <row r="113" spans="1:20" x14ac:dyDescent="0.3">
      <c r="A113" s="5" t="s">
        <v>239</v>
      </c>
      <c r="B113" s="5" t="s">
        <v>240</v>
      </c>
      <c r="C113" s="5" t="s">
        <v>28</v>
      </c>
      <c r="D113" s="5" t="s">
        <v>22</v>
      </c>
      <c r="E113" s="5" t="s">
        <v>82</v>
      </c>
      <c r="F113" s="5" t="s">
        <v>61</v>
      </c>
      <c r="G113" s="5">
        <v>19</v>
      </c>
      <c r="H113" s="6">
        <v>59.99</v>
      </c>
      <c r="I113" s="6">
        <f t="shared" si="10"/>
        <v>1139.81</v>
      </c>
      <c r="J113" s="7">
        <v>0</v>
      </c>
      <c r="K113" s="6">
        <f t="shared" si="11"/>
        <v>1139.81</v>
      </c>
      <c r="L113" s="5" t="s">
        <v>18</v>
      </c>
      <c r="M113" s="31">
        <f t="shared" si="12"/>
        <v>1139.81</v>
      </c>
      <c r="N113" s="33">
        <f t="shared" si="13"/>
        <v>1079.82</v>
      </c>
      <c r="O113" s="31" t="str">
        <f t="shared" si="14"/>
        <v>May</v>
      </c>
      <c r="P113" s="33">
        <f t="shared" si="15"/>
        <v>-1079.82</v>
      </c>
      <c r="Q113" s="33">
        <f t="shared" si="16"/>
        <v>0.94736842105263153</v>
      </c>
      <c r="R113" s="33">
        <f t="shared" si="17"/>
        <v>59.989999999999995</v>
      </c>
      <c r="S113" s="33" t="str">
        <f t="shared" si="18"/>
        <v>Large</v>
      </c>
      <c r="T113" s="33" t="str">
        <f t="shared" si="19"/>
        <v>High</v>
      </c>
    </row>
    <row r="114" spans="1:20" x14ac:dyDescent="0.3">
      <c r="A114" s="11" t="s">
        <v>241</v>
      </c>
      <c r="B114" s="11" t="s">
        <v>242</v>
      </c>
      <c r="C114" s="11" t="s">
        <v>52</v>
      </c>
      <c r="D114" s="11" t="s">
        <v>33</v>
      </c>
      <c r="E114" s="11" t="s">
        <v>29</v>
      </c>
      <c r="F114" s="11" t="s">
        <v>30</v>
      </c>
      <c r="G114" s="11">
        <v>9</v>
      </c>
      <c r="H114" s="12">
        <v>29.99</v>
      </c>
      <c r="I114" s="12">
        <f t="shared" si="10"/>
        <v>269.90999999999997</v>
      </c>
      <c r="J114" s="13">
        <v>10</v>
      </c>
      <c r="K114" s="12">
        <f t="shared" si="11"/>
        <v>242.91899999999998</v>
      </c>
      <c r="L114" s="11" t="s">
        <v>72</v>
      </c>
      <c r="M114" s="31">
        <f t="shared" si="12"/>
        <v>269.90999999999997</v>
      </c>
      <c r="N114" s="33">
        <f t="shared" si="13"/>
        <v>239.91999999999996</v>
      </c>
      <c r="O114" s="31" t="str">
        <f t="shared" si="14"/>
        <v>May</v>
      </c>
      <c r="P114" s="33">
        <f t="shared" si="15"/>
        <v>-212.92899999999997</v>
      </c>
      <c r="Q114" s="33">
        <f t="shared" si="16"/>
        <v>0.98765432098765427</v>
      </c>
      <c r="R114" s="33">
        <f t="shared" si="17"/>
        <v>26.991</v>
      </c>
      <c r="S114" s="33" t="str">
        <f t="shared" si="18"/>
        <v>Small</v>
      </c>
      <c r="T114" s="33" t="str">
        <f t="shared" si="19"/>
        <v>High</v>
      </c>
    </row>
    <row r="115" spans="1:20" x14ac:dyDescent="0.3">
      <c r="A115" s="5" t="s">
        <v>243</v>
      </c>
      <c r="B115" s="5" t="s">
        <v>244</v>
      </c>
      <c r="C115" s="5" t="s">
        <v>52</v>
      </c>
      <c r="D115" s="5" t="s">
        <v>33</v>
      </c>
      <c r="E115" s="5" t="s">
        <v>60</v>
      </c>
      <c r="F115" s="5" t="s">
        <v>61</v>
      </c>
      <c r="G115" s="5">
        <v>9</v>
      </c>
      <c r="H115" s="6">
        <v>49.99</v>
      </c>
      <c r="I115" s="6">
        <f t="shared" si="10"/>
        <v>449.91</v>
      </c>
      <c r="J115" s="7">
        <v>0</v>
      </c>
      <c r="K115" s="6">
        <f t="shared" si="11"/>
        <v>449.91</v>
      </c>
      <c r="L115" s="5" t="s">
        <v>18</v>
      </c>
      <c r="M115" s="31">
        <f t="shared" si="12"/>
        <v>449.91</v>
      </c>
      <c r="N115" s="33">
        <f t="shared" si="13"/>
        <v>399.92</v>
      </c>
      <c r="O115" s="31" t="str">
        <f t="shared" si="14"/>
        <v>May</v>
      </c>
      <c r="P115" s="33">
        <f t="shared" si="15"/>
        <v>-399.92</v>
      </c>
      <c r="Q115" s="33">
        <f t="shared" si="16"/>
        <v>0.88888888888888884</v>
      </c>
      <c r="R115" s="33">
        <f t="shared" si="17"/>
        <v>49.99</v>
      </c>
      <c r="S115" s="33" t="str">
        <f t="shared" si="18"/>
        <v>Small</v>
      </c>
      <c r="T115" s="33" t="str">
        <f t="shared" si="19"/>
        <v>Low</v>
      </c>
    </row>
    <row r="116" spans="1:20" x14ac:dyDescent="0.3">
      <c r="A116" s="2" t="s">
        <v>245</v>
      </c>
      <c r="B116" s="2" t="s">
        <v>246</v>
      </c>
      <c r="C116" s="2" t="s">
        <v>28</v>
      </c>
      <c r="D116" s="2" t="s">
        <v>22</v>
      </c>
      <c r="E116" s="2" t="s">
        <v>66</v>
      </c>
      <c r="F116" s="2" t="s">
        <v>17</v>
      </c>
      <c r="G116" s="2">
        <v>14</v>
      </c>
      <c r="H116" s="3">
        <v>549</v>
      </c>
      <c r="I116" s="3">
        <f t="shared" si="10"/>
        <v>7686</v>
      </c>
      <c r="J116" s="4">
        <v>15</v>
      </c>
      <c r="K116" s="3">
        <f t="shared" si="11"/>
        <v>6533.0999999999995</v>
      </c>
      <c r="L116" s="2" t="s">
        <v>18</v>
      </c>
      <c r="M116" s="31">
        <f t="shared" si="12"/>
        <v>7686</v>
      </c>
      <c r="N116" s="33">
        <f t="shared" si="13"/>
        <v>7137</v>
      </c>
      <c r="O116" s="31" t="str">
        <f t="shared" si="14"/>
        <v>May</v>
      </c>
      <c r="P116" s="33">
        <f t="shared" si="15"/>
        <v>-5984.0999999999995</v>
      </c>
      <c r="Q116" s="33">
        <f t="shared" si="16"/>
        <v>1.0924369747899161</v>
      </c>
      <c r="R116" s="33">
        <f t="shared" si="17"/>
        <v>466.65</v>
      </c>
      <c r="S116" s="33" t="str">
        <f t="shared" si="18"/>
        <v>Large</v>
      </c>
      <c r="T116" s="33" t="str">
        <f t="shared" si="19"/>
        <v>Low</v>
      </c>
    </row>
    <row r="117" spans="1:20" x14ac:dyDescent="0.3">
      <c r="A117" s="5" t="s">
        <v>247</v>
      </c>
      <c r="B117" s="5" t="s">
        <v>248</v>
      </c>
      <c r="C117" s="5" t="s">
        <v>41</v>
      </c>
      <c r="D117" s="5" t="s">
        <v>15</v>
      </c>
      <c r="E117" s="5" t="s">
        <v>93</v>
      </c>
      <c r="F117" s="5" t="s">
        <v>24</v>
      </c>
      <c r="G117" s="5">
        <v>4</v>
      </c>
      <c r="H117" s="6">
        <v>599</v>
      </c>
      <c r="I117" s="6">
        <f t="shared" si="10"/>
        <v>2396</v>
      </c>
      <c r="J117" s="7">
        <v>5</v>
      </c>
      <c r="K117" s="6">
        <f t="shared" si="11"/>
        <v>2276.1999999999998</v>
      </c>
      <c r="L117" s="5" t="s">
        <v>18</v>
      </c>
      <c r="M117" s="31">
        <f t="shared" si="12"/>
        <v>2396</v>
      </c>
      <c r="N117" s="33">
        <f t="shared" si="13"/>
        <v>1797</v>
      </c>
      <c r="O117" s="31" t="str">
        <f t="shared" si="14"/>
        <v>May</v>
      </c>
      <c r="P117" s="33">
        <f t="shared" si="15"/>
        <v>-1677.1999999999998</v>
      </c>
      <c r="Q117" s="33">
        <f t="shared" si="16"/>
        <v>0.78947368421052633</v>
      </c>
      <c r="R117" s="33">
        <f t="shared" si="17"/>
        <v>569.04999999999995</v>
      </c>
      <c r="S117" s="33" t="str">
        <f t="shared" si="18"/>
        <v>Small</v>
      </c>
      <c r="T117" s="33" t="str">
        <f t="shared" si="19"/>
        <v>High</v>
      </c>
    </row>
    <row r="118" spans="1:20" x14ac:dyDescent="0.3">
      <c r="A118" s="2" t="s">
        <v>249</v>
      </c>
      <c r="B118" s="2" t="s">
        <v>248</v>
      </c>
      <c r="C118" s="2" t="s">
        <v>41</v>
      </c>
      <c r="D118" s="2" t="s">
        <v>15</v>
      </c>
      <c r="E118" s="2" t="s">
        <v>87</v>
      </c>
      <c r="F118" s="2" t="s">
        <v>61</v>
      </c>
      <c r="G118" s="2">
        <v>16</v>
      </c>
      <c r="H118" s="3">
        <v>299</v>
      </c>
      <c r="I118" s="3">
        <f t="shared" si="10"/>
        <v>4784</v>
      </c>
      <c r="J118" s="4">
        <v>0</v>
      </c>
      <c r="K118" s="3">
        <f t="shared" si="11"/>
        <v>4784</v>
      </c>
      <c r="L118" s="2" t="s">
        <v>18</v>
      </c>
      <c r="M118" s="31">
        <f t="shared" si="12"/>
        <v>4784</v>
      </c>
      <c r="N118" s="33">
        <f t="shared" si="13"/>
        <v>4485</v>
      </c>
      <c r="O118" s="31" t="str">
        <f t="shared" si="14"/>
        <v>May</v>
      </c>
      <c r="P118" s="33">
        <f t="shared" si="15"/>
        <v>-4485</v>
      </c>
      <c r="Q118" s="33">
        <f t="shared" si="16"/>
        <v>0.9375</v>
      </c>
      <c r="R118" s="33">
        <f t="shared" si="17"/>
        <v>299</v>
      </c>
      <c r="S118" s="33" t="str">
        <f t="shared" si="18"/>
        <v>Large</v>
      </c>
      <c r="T118" s="33" t="str">
        <f t="shared" si="19"/>
        <v>High</v>
      </c>
    </row>
    <row r="119" spans="1:20" x14ac:dyDescent="0.3">
      <c r="A119" s="5" t="s">
        <v>250</v>
      </c>
      <c r="B119" s="5" t="s">
        <v>251</v>
      </c>
      <c r="C119" s="5" t="s">
        <v>52</v>
      </c>
      <c r="D119" s="5" t="s">
        <v>33</v>
      </c>
      <c r="E119" s="5" t="s">
        <v>39</v>
      </c>
      <c r="F119" s="5" t="s">
        <v>17</v>
      </c>
      <c r="G119" s="5">
        <v>25</v>
      </c>
      <c r="H119" s="6">
        <v>299</v>
      </c>
      <c r="I119" s="6">
        <f t="shared" si="10"/>
        <v>7475</v>
      </c>
      <c r="J119" s="7">
        <v>0</v>
      </c>
      <c r="K119" s="6">
        <f t="shared" si="11"/>
        <v>7475</v>
      </c>
      <c r="L119" s="5" t="s">
        <v>18</v>
      </c>
      <c r="M119" s="31">
        <f t="shared" si="12"/>
        <v>7475</v>
      </c>
      <c r="N119" s="33">
        <f t="shared" si="13"/>
        <v>7176</v>
      </c>
      <c r="O119" s="31" t="str">
        <f t="shared" si="14"/>
        <v>May</v>
      </c>
      <c r="P119" s="33">
        <f t="shared" si="15"/>
        <v>-7176</v>
      </c>
      <c r="Q119" s="33">
        <f t="shared" si="16"/>
        <v>0.96</v>
      </c>
      <c r="R119" s="33">
        <f t="shared" si="17"/>
        <v>299</v>
      </c>
      <c r="S119" s="33" t="str">
        <f t="shared" si="18"/>
        <v>Large</v>
      </c>
      <c r="T119" s="33" t="str">
        <f t="shared" si="19"/>
        <v>High</v>
      </c>
    </row>
    <row r="120" spans="1:20" x14ac:dyDescent="0.3">
      <c r="A120" s="11" t="s">
        <v>252</v>
      </c>
      <c r="B120" s="11" t="s">
        <v>251</v>
      </c>
      <c r="C120" s="11" t="s">
        <v>80</v>
      </c>
      <c r="D120" s="11" t="s">
        <v>22</v>
      </c>
      <c r="E120" s="11" t="s">
        <v>60</v>
      </c>
      <c r="F120" s="11" t="s">
        <v>61</v>
      </c>
      <c r="G120" s="11">
        <v>1</v>
      </c>
      <c r="H120" s="12">
        <v>49.99</v>
      </c>
      <c r="I120" s="12">
        <f t="shared" si="10"/>
        <v>49.99</v>
      </c>
      <c r="J120" s="13">
        <v>10</v>
      </c>
      <c r="K120" s="12">
        <f t="shared" si="11"/>
        <v>44.991</v>
      </c>
      <c r="L120" s="11" t="s">
        <v>72</v>
      </c>
      <c r="M120" s="31">
        <f t="shared" si="12"/>
        <v>49.99</v>
      </c>
      <c r="N120" s="33">
        <f t="shared" si="13"/>
        <v>0</v>
      </c>
      <c r="O120" s="31" t="str">
        <f t="shared" si="14"/>
        <v>May</v>
      </c>
      <c r="P120" s="33">
        <f t="shared" si="15"/>
        <v>4.9990000000000023</v>
      </c>
      <c r="Q120" s="33">
        <f t="shared" si="16"/>
        <v>0</v>
      </c>
      <c r="R120" s="33">
        <f t="shared" si="17"/>
        <v>44.991</v>
      </c>
      <c r="S120" s="33" t="str">
        <f t="shared" si="18"/>
        <v>Small</v>
      </c>
      <c r="T120" s="33" t="str">
        <f t="shared" si="19"/>
        <v>High</v>
      </c>
    </row>
    <row r="121" spans="1:20" x14ac:dyDescent="0.3">
      <c r="A121" s="5" t="s">
        <v>253</v>
      </c>
      <c r="B121" s="5" t="s">
        <v>254</v>
      </c>
      <c r="C121" s="5" t="s">
        <v>28</v>
      </c>
      <c r="D121" s="5" t="s">
        <v>22</v>
      </c>
      <c r="E121" s="5" t="s">
        <v>66</v>
      </c>
      <c r="F121" s="5" t="s">
        <v>17</v>
      </c>
      <c r="G121" s="5">
        <v>6</v>
      </c>
      <c r="H121" s="6">
        <v>549</v>
      </c>
      <c r="I121" s="6">
        <f t="shared" si="10"/>
        <v>3294</v>
      </c>
      <c r="J121" s="7">
        <v>5</v>
      </c>
      <c r="K121" s="6">
        <f t="shared" si="11"/>
        <v>3129.2999999999997</v>
      </c>
      <c r="L121" s="5" t="s">
        <v>18</v>
      </c>
      <c r="M121" s="31">
        <f t="shared" si="12"/>
        <v>3294</v>
      </c>
      <c r="N121" s="33">
        <f t="shared" si="13"/>
        <v>2745</v>
      </c>
      <c r="O121" s="31" t="str">
        <f t="shared" si="14"/>
        <v>May</v>
      </c>
      <c r="P121" s="33">
        <f t="shared" si="15"/>
        <v>-2580.2999999999997</v>
      </c>
      <c r="Q121" s="33">
        <f t="shared" si="16"/>
        <v>0.87719298245614041</v>
      </c>
      <c r="R121" s="33">
        <f t="shared" si="17"/>
        <v>521.54999999999995</v>
      </c>
      <c r="S121" s="33" t="str">
        <f t="shared" si="18"/>
        <v>Small</v>
      </c>
      <c r="T121" s="33" t="str">
        <f t="shared" si="19"/>
        <v>Low</v>
      </c>
    </row>
    <row r="122" spans="1:20" x14ac:dyDescent="0.3">
      <c r="A122" s="2" t="s">
        <v>255</v>
      </c>
      <c r="B122" s="2" t="s">
        <v>256</v>
      </c>
      <c r="C122" s="2" t="s">
        <v>28</v>
      </c>
      <c r="D122" s="2" t="s">
        <v>22</v>
      </c>
      <c r="E122" s="2" t="s">
        <v>39</v>
      </c>
      <c r="F122" s="2" t="s">
        <v>17</v>
      </c>
      <c r="G122" s="2">
        <v>5</v>
      </c>
      <c r="H122" s="3">
        <v>299</v>
      </c>
      <c r="I122" s="3">
        <f t="shared" si="10"/>
        <v>1495</v>
      </c>
      <c r="J122" s="4">
        <v>15</v>
      </c>
      <c r="K122" s="3">
        <f t="shared" si="11"/>
        <v>1270.75</v>
      </c>
      <c r="L122" s="2" t="s">
        <v>18</v>
      </c>
      <c r="M122" s="31">
        <f t="shared" si="12"/>
        <v>1495</v>
      </c>
      <c r="N122" s="33">
        <f t="shared" si="13"/>
        <v>1196</v>
      </c>
      <c r="O122" s="31" t="str">
        <f t="shared" si="14"/>
        <v>May</v>
      </c>
      <c r="P122" s="33">
        <f t="shared" si="15"/>
        <v>-971.75</v>
      </c>
      <c r="Q122" s="33">
        <f t="shared" si="16"/>
        <v>0.94117647058823528</v>
      </c>
      <c r="R122" s="33">
        <f t="shared" si="17"/>
        <v>254.15</v>
      </c>
      <c r="S122" s="33" t="str">
        <f t="shared" si="18"/>
        <v>Small</v>
      </c>
      <c r="T122" s="33" t="str">
        <f t="shared" si="19"/>
        <v>High</v>
      </c>
    </row>
    <row r="123" spans="1:20" x14ac:dyDescent="0.3">
      <c r="A123" s="5" t="s">
        <v>257</v>
      </c>
      <c r="B123" s="5" t="s">
        <v>256</v>
      </c>
      <c r="C123" s="5" t="s">
        <v>32</v>
      </c>
      <c r="D123" s="5" t="s">
        <v>33</v>
      </c>
      <c r="E123" s="5" t="s">
        <v>16</v>
      </c>
      <c r="F123" s="5" t="s">
        <v>17</v>
      </c>
      <c r="G123" s="5">
        <v>7</v>
      </c>
      <c r="H123" s="6">
        <v>129</v>
      </c>
      <c r="I123" s="6">
        <f t="shared" si="10"/>
        <v>903</v>
      </c>
      <c r="J123" s="7">
        <v>0</v>
      </c>
      <c r="K123" s="6">
        <f t="shared" si="11"/>
        <v>903</v>
      </c>
      <c r="L123" s="5" t="s">
        <v>18</v>
      </c>
      <c r="M123" s="31">
        <f t="shared" si="12"/>
        <v>903</v>
      </c>
      <c r="N123" s="33">
        <f t="shared" si="13"/>
        <v>774</v>
      </c>
      <c r="O123" s="31" t="str">
        <f t="shared" si="14"/>
        <v>May</v>
      </c>
      <c r="P123" s="33">
        <f t="shared" si="15"/>
        <v>-774</v>
      </c>
      <c r="Q123" s="33">
        <f t="shared" si="16"/>
        <v>0.8571428571428571</v>
      </c>
      <c r="R123" s="33">
        <f t="shared" si="17"/>
        <v>129</v>
      </c>
      <c r="S123" s="33" t="str">
        <f t="shared" si="18"/>
        <v>Small</v>
      </c>
      <c r="T123" s="33" t="str">
        <f t="shared" si="19"/>
        <v>High</v>
      </c>
    </row>
    <row r="124" spans="1:20" x14ac:dyDescent="0.3">
      <c r="A124" s="2" t="s">
        <v>258</v>
      </c>
      <c r="B124" s="2" t="s">
        <v>259</v>
      </c>
      <c r="C124" s="2" t="s">
        <v>41</v>
      </c>
      <c r="D124" s="2" t="s">
        <v>15</v>
      </c>
      <c r="E124" s="2" t="s">
        <v>29</v>
      </c>
      <c r="F124" s="2" t="s">
        <v>30</v>
      </c>
      <c r="G124" s="2">
        <v>15</v>
      </c>
      <c r="H124" s="3">
        <v>29.99</v>
      </c>
      <c r="I124" s="3">
        <f t="shared" si="10"/>
        <v>449.84999999999997</v>
      </c>
      <c r="J124" s="4">
        <v>15</v>
      </c>
      <c r="K124" s="3">
        <f t="shared" si="11"/>
        <v>382.37249999999995</v>
      </c>
      <c r="L124" s="2" t="s">
        <v>18</v>
      </c>
      <c r="M124" s="31">
        <f t="shared" si="12"/>
        <v>449.84999999999997</v>
      </c>
      <c r="N124" s="33">
        <f t="shared" si="13"/>
        <v>419.85999999999996</v>
      </c>
      <c r="O124" s="31" t="str">
        <f t="shared" si="14"/>
        <v>May</v>
      </c>
      <c r="P124" s="33">
        <f t="shared" si="15"/>
        <v>-352.38249999999994</v>
      </c>
      <c r="Q124" s="33">
        <f t="shared" si="16"/>
        <v>1.0980392156862746</v>
      </c>
      <c r="R124" s="33">
        <f t="shared" si="17"/>
        <v>25.491499999999995</v>
      </c>
      <c r="S124" s="33" t="str">
        <f t="shared" si="18"/>
        <v>Large</v>
      </c>
      <c r="T124" s="33" t="str">
        <f t="shared" si="19"/>
        <v>Low</v>
      </c>
    </row>
    <row r="125" spans="1:20" x14ac:dyDescent="0.3">
      <c r="A125" s="5" t="s">
        <v>260</v>
      </c>
      <c r="B125" s="5" t="s">
        <v>259</v>
      </c>
      <c r="C125" s="5" t="s">
        <v>14</v>
      </c>
      <c r="D125" s="5" t="s">
        <v>15</v>
      </c>
      <c r="E125" s="5" t="s">
        <v>141</v>
      </c>
      <c r="F125" s="5" t="s">
        <v>17</v>
      </c>
      <c r="G125" s="5">
        <v>1</v>
      </c>
      <c r="H125" s="6">
        <v>169</v>
      </c>
      <c r="I125" s="6">
        <f t="shared" si="10"/>
        <v>169</v>
      </c>
      <c r="J125" s="7">
        <v>5</v>
      </c>
      <c r="K125" s="6">
        <f t="shared" si="11"/>
        <v>160.54999999999998</v>
      </c>
      <c r="L125" s="5" t="s">
        <v>18</v>
      </c>
      <c r="M125" s="31">
        <f t="shared" si="12"/>
        <v>169</v>
      </c>
      <c r="N125" s="33">
        <f t="shared" si="13"/>
        <v>0</v>
      </c>
      <c r="O125" s="31" t="str">
        <f t="shared" si="14"/>
        <v>May</v>
      </c>
      <c r="P125" s="33">
        <f t="shared" si="15"/>
        <v>8.4500000000000171</v>
      </c>
      <c r="Q125" s="33">
        <f t="shared" si="16"/>
        <v>0</v>
      </c>
      <c r="R125" s="33">
        <f t="shared" si="17"/>
        <v>160.54999999999998</v>
      </c>
      <c r="S125" s="33" t="str">
        <f t="shared" si="18"/>
        <v>Small</v>
      </c>
      <c r="T125" s="33" t="str">
        <f t="shared" si="19"/>
        <v>Low</v>
      </c>
    </row>
    <row r="126" spans="1:20" x14ac:dyDescent="0.3">
      <c r="A126" s="2" t="s">
        <v>261</v>
      </c>
      <c r="B126" s="2" t="s">
        <v>262</v>
      </c>
      <c r="C126" s="2" t="s">
        <v>37</v>
      </c>
      <c r="D126" s="2" t="s">
        <v>38</v>
      </c>
      <c r="E126" s="2" t="s">
        <v>74</v>
      </c>
      <c r="F126" s="2" t="s">
        <v>30</v>
      </c>
      <c r="G126" s="2">
        <v>9</v>
      </c>
      <c r="H126" s="3">
        <v>49.99</v>
      </c>
      <c r="I126" s="3">
        <f t="shared" si="10"/>
        <v>449.91</v>
      </c>
      <c r="J126" s="4">
        <v>12</v>
      </c>
      <c r="K126" s="3">
        <f t="shared" si="11"/>
        <v>395.92080000000004</v>
      </c>
      <c r="L126" s="2" t="s">
        <v>18</v>
      </c>
      <c r="M126" s="31">
        <f t="shared" si="12"/>
        <v>449.91</v>
      </c>
      <c r="N126" s="33">
        <f t="shared" si="13"/>
        <v>399.92</v>
      </c>
      <c r="O126" s="31" t="str">
        <f t="shared" si="14"/>
        <v>May</v>
      </c>
      <c r="P126" s="33">
        <f t="shared" si="15"/>
        <v>-345.93080000000003</v>
      </c>
      <c r="Q126" s="33">
        <f t="shared" si="16"/>
        <v>1.0101010101010099</v>
      </c>
      <c r="R126" s="33">
        <f t="shared" si="17"/>
        <v>43.991200000000006</v>
      </c>
      <c r="S126" s="33" t="str">
        <f t="shared" si="18"/>
        <v>Small</v>
      </c>
      <c r="T126" s="33" t="str">
        <f t="shared" si="19"/>
        <v>Low</v>
      </c>
    </row>
    <row r="127" spans="1:20" x14ac:dyDescent="0.3">
      <c r="A127" s="8" t="s">
        <v>263</v>
      </c>
      <c r="B127" s="8" t="s">
        <v>264</v>
      </c>
      <c r="C127" s="8" t="s">
        <v>41</v>
      </c>
      <c r="D127" s="8" t="s">
        <v>15</v>
      </c>
      <c r="E127" s="8" t="s">
        <v>90</v>
      </c>
      <c r="F127" s="8" t="s">
        <v>24</v>
      </c>
      <c r="G127" s="8">
        <v>17</v>
      </c>
      <c r="H127" s="9">
        <v>149.99</v>
      </c>
      <c r="I127" s="9">
        <f t="shared" si="10"/>
        <v>2549.83</v>
      </c>
      <c r="J127" s="10">
        <v>10</v>
      </c>
      <c r="K127" s="9">
        <f t="shared" si="11"/>
        <v>2294.8470000000002</v>
      </c>
      <c r="L127" s="8" t="s">
        <v>72</v>
      </c>
      <c r="M127" s="31">
        <f t="shared" si="12"/>
        <v>2549.83</v>
      </c>
      <c r="N127" s="33">
        <f t="shared" si="13"/>
        <v>2399.84</v>
      </c>
      <c r="O127" s="31" t="str">
        <f t="shared" si="14"/>
        <v>June</v>
      </c>
      <c r="P127" s="33">
        <f t="shared" si="15"/>
        <v>-2144.857</v>
      </c>
      <c r="Q127" s="33">
        <f t="shared" si="16"/>
        <v>1.0457516339869282</v>
      </c>
      <c r="R127" s="33">
        <f t="shared" si="17"/>
        <v>134.99100000000001</v>
      </c>
      <c r="S127" s="33" t="str">
        <f t="shared" si="18"/>
        <v>Large</v>
      </c>
      <c r="T127" s="33" t="str">
        <f t="shared" si="19"/>
        <v>Low</v>
      </c>
    </row>
    <row r="128" spans="1:20" x14ac:dyDescent="0.3">
      <c r="A128" s="2" t="s">
        <v>265</v>
      </c>
      <c r="B128" s="2" t="s">
        <v>266</v>
      </c>
      <c r="C128" s="2" t="s">
        <v>37</v>
      </c>
      <c r="D128" s="2" t="s">
        <v>38</v>
      </c>
      <c r="E128" s="2" t="s">
        <v>103</v>
      </c>
      <c r="F128" s="2" t="s">
        <v>61</v>
      </c>
      <c r="G128" s="2">
        <v>10</v>
      </c>
      <c r="H128" s="3">
        <v>99</v>
      </c>
      <c r="I128" s="3">
        <f t="shared" si="10"/>
        <v>990</v>
      </c>
      <c r="J128" s="4">
        <v>12</v>
      </c>
      <c r="K128" s="3">
        <f t="shared" si="11"/>
        <v>871.2</v>
      </c>
      <c r="L128" s="2" t="s">
        <v>18</v>
      </c>
      <c r="M128" s="31">
        <f t="shared" si="12"/>
        <v>990</v>
      </c>
      <c r="N128" s="33">
        <f t="shared" si="13"/>
        <v>891</v>
      </c>
      <c r="O128" s="31" t="str">
        <f t="shared" si="14"/>
        <v>June</v>
      </c>
      <c r="P128" s="33">
        <f t="shared" si="15"/>
        <v>-772.2</v>
      </c>
      <c r="Q128" s="33">
        <f t="shared" si="16"/>
        <v>1.0227272727272727</v>
      </c>
      <c r="R128" s="33">
        <f t="shared" si="17"/>
        <v>87.12</v>
      </c>
      <c r="S128" s="33" t="str">
        <f t="shared" si="18"/>
        <v>Large</v>
      </c>
      <c r="T128" s="33" t="str">
        <f t="shared" si="19"/>
        <v>High</v>
      </c>
    </row>
    <row r="129" spans="1:20" x14ac:dyDescent="0.3">
      <c r="A129" s="5" t="s">
        <v>267</v>
      </c>
      <c r="B129" s="5" t="s">
        <v>268</v>
      </c>
      <c r="C129" s="5" t="s">
        <v>21</v>
      </c>
      <c r="D129" s="5" t="s">
        <v>22</v>
      </c>
      <c r="E129" s="5" t="s">
        <v>144</v>
      </c>
      <c r="F129" s="5" t="s">
        <v>30</v>
      </c>
      <c r="G129" s="5">
        <v>21</v>
      </c>
      <c r="H129" s="6">
        <v>79.989999999999995</v>
      </c>
      <c r="I129" s="6">
        <f t="shared" si="10"/>
        <v>1679.79</v>
      </c>
      <c r="J129" s="7">
        <v>12</v>
      </c>
      <c r="K129" s="6">
        <f t="shared" si="11"/>
        <v>1478.2151999999999</v>
      </c>
      <c r="L129" s="5" t="s">
        <v>18</v>
      </c>
      <c r="M129" s="31">
        <f t="shared" si="12"/>
        <v>1679.79</v>
      </c>
      <c r="N129" s="33">
        <f t="shared" si="13"/>
        <v>1599.8</v>
      </c>
      <c r="O129" s="31" t="str">
        <f t="shared" si="14"/>
        <v>June</v>
      </c>
      <c r="P129" s="33">
        <f t="shared" si="15"/>
        <v>-1398.2251999999999</v>
      </c>
      <c r="Q129" s="33">
        <f t="shared" si="16"/>
        <v>1.0822510822510822</v>
      </c>
      <c r="R129" s="33">
        <f t="shared" si="17"/>
        <v>70.391199999999998</v>
      </c>
      <c r="S129" s="33" t="str">
        <f t="shared" si="18"/>
        <v>Large</v>
      </c>
      <c r="T129" s="33" t="str">
        <f t="shared" si="19"/>
        <v>Low</v>
      </c>
    </row>
    <row r="130" spans="1:20" x14ac:dyDescent="0.3">
      <c r="A130" s="2" t="s">
        <v>269</v>
      </c>
      <c r="B130" s="2" t="s">
        <v>268</v>
      </c>
      <c r="C130" s="2" t="s">
        <v>28</v>
      </c>
      <c r="D130" s="2" t="s">
        <v>22</v>
      </c>
      <c r="E130" s="2" t="s">
        <v>23</v>
      </c>
      <c r="F130" s="2" t="s">
        <v>24</v>
      </c>
      <c r="G130" s="2">
        <v>27</v>
      </c>
      <c r="H130" s="3">
        <v>999</v>
      </c>
      <c r="I130" s="3">
        <f t="shared" ref="I130:I193" si="20">H130*G130</f>
        <v>26973</v>
      </c>
      <c r="J130" s="4">
        <v>0</v>
      </c>
      <c r="K130" s="3">
        <f t="shared" ref="K130:K193" si="21">I130*(1-J130/100)</f>
        <v>26973</v>
      </c>
      <c r="L130" s="2" t="s">
        <v>18</v>
      </c>
      <c r="M130" s="31">
        <f t="shared" si="12"/>
        <v>26973</v>
      </c>
      <c r="N130" s="33">
        <f t="shared" si="13"/>
        <v>25974</v>
      </c>
      <c r="O130" s="31" t="str">
        <f t="shared" si="14"/>
        <v>June</v>
      </c>
      <c r="P130" s="33">
        <f t="shared" si="15"/>
        <v>-25974</v>
      </c>
      <c r="Q130" s="33">
        <f t="shared" si="16"/>
        <v>0.96296296296296291</v>
      </c>
      <c r="R130" s="33">
        <f t="shared" si="17"/>
        <v>999</v>
      </c>
      <c r="S130" s="33" t="str">
        <f t="shared" si="18"/>
        <v>Large</v>
      </c>
      <c r="T130" s="33" t="str">
        <f t="shared" si="19"/>
        <v>High</v>
      </c>
    </row>
    <row r="131" spans="1:20" x14ac:dyDescent="0.3">
      <c r="A131" s="5" t="s">
        <v>270</v>
      </c>
      <c r="B131" s="5" t="s">
        <v>268</v>
      </c>
      <c r="C131" s="5" t="s">
        <v>32</v>
      </c>
      <c r="D131" s="5" t="s">
        <v>33</v>
      </c>
      <c r="E131" s="5" t="s">
        <v>29</v>
      </c>
      <c r="F131" s="5" t="s">
        <v>30</v>
      </c>
      <c r="G131" s="5">
        <v>5</v>
      </c>
      <c r="H131" s="6">
        <v>29.99</v>
      </c>
      <c r="I131" s="6">
        <f t="shared" si="20"/>
        <v>149.94999999999999</v>
      </c>
      <c r="J131" s="7">
        <v>12</v>
      </c>
      <c r="K131" s="6">
        <f t="shared" si="21"/>
        <v>131.95599999999999</v>
      </c>
      <c r="L131" s="5" t="s">
        <v>18</v>
      </c>
      <c r="M131" s="31">
        <f t="shared" ref="M131:M194" si="22">G131*H131</f>
        <v>149.94999999999999</v>
      </c>
      <c r="N131" s="33">
        <f t="shared" ref="N131:N194" si="23">M131-H131</f>
        <v>119.96</v>
      </c>
      <c r="O131" s="31" t="str">
        <f t="shared" ref="O131:O194" si="24">TEXT(B131,"MMMM")</f>
        <v>June</v>
      </c>
      <c r="P131" s="33">
        <f t="shared" ref="P131:P194" si="25">H131-K131</f>
        <v>-101.96599999999999</v>
      </c>
      <c r="Q131" s="33">
        <f t="shared" ref="Q131:Q194" si="26">N131/K131</f>
        <v>0.90909090909090917</v>
      </c>
      <c r="R131" s="33">
        <f t="shared" ref="R131:R194" si="27">K131/G131</f>
        <v>26.391199999999998</v>
      </c>
      <c r="S131" s="33" t="str">
        <f t="shared" ref="S131:S194" si="28">IF(G131&gt;=10,"Large","Small")</f>
        <v>Small</v>
      </c>
      <c r="T131" s="33" t="str">
        <f t="shared" ref="T131:T194" si="29">IF(K130&gt;1000,"High","Low")</f>
        <v>High</v>
      </c>
    </row>
    <row r="132" spans="1:20" x14ac:dyDescent="0.3">
      <c r="A132" s="2" t="s">
        <v>271</v>
      </c>
      <c r="B132" s="2" t="s">
        <v>272</v>
      </c>
      <c r="C132" s="2" t="s">
        <v>41</v>
      </c>
      <c r="D132" s="2" t="s">
        <v>15</v>
      </c>
      <c r="E132" s="2" t="s">
        <v>71</v>
      </c>
      <c r="F132" s="2" t="s">
        <v>24</v>
      </c>
      <c r="G132" s="2">
        <v>8</v>
      </c>
      <c r="H132" s="3">
        <v>249</v>
      </c>
      <c r="I132" s="3">
        <f t="shared" si="20"/>
        <v>1992</v>
      </c>
      <c r="J132" s="4">
        <v>0</v>
      </c>
      <c r="K132" s="3">
        <f t="shared" si="21"/>
        <v>1992</v>
      </c>
      <c r="L132" s="2" t="s">
        <v>18</v>
      </c>
      <c r="M132" s="31">
        <f t="shared" si="22"/>
        <v>1992</v>
      </c>
      <c r="N132" s="33">
        <f t="shared" si="23"/>
        <v>1743</v>
      </c>
      <c r="O132" s="31" t="str">
        <f t="shared" si="24"/>
        <v>June</v>
      </c>
      <c r="P132" s="33">
        <f t="shared" si="25"/>
        <v>-1743</v>
      </c>
      <c r="Q132" s="33">
        <f t="shared" si="26"/>
        <v>0.875</v>
      </c>
      <c r="R132" s="33">
        <f t="shared" si="27"/>
        <v>249</v>
      </c>
      <c r="S132" s="33" t="str">
        <f t="shared" si="28"/>
        <v>Small</v>
      </c>
      <c r="T132" s="33" t="str">
        <f t="shared" si="29"/>
        <v>Low</v>
      </c>
    </row>
    <row r="133" spans="1:20" x14ac:dyDescent="0.3">
      <c r="A133" s="5" t="s">
        <v>273</v>
      </c>
      <c r="B133" s="5" t="s">
        <v>274</v>
      </c>
      <c r="C133" s="5" t="s">
        <v>32</v>
      </c>
      <c r="D133" s="5" t="s">
        <v>33</v>
      </c>
      <c r="E133" s="5" t="s">
        <v>99</v>
      </c>
      <c r="F133" s="5" t="s">
        <v>30</v>
      </c>
      <c r="G133" s="5">
        <v>22</v>
      </c>
      <c r="H133" s="6">
        <v>89.99</v>
      </c>
      <c r="I133" s="6">
        <f t="shared" si="20"/>
        <v>1979.78</v>
      </c>
      <c r="J133" s="7">
        <v>0</v>
      </c>
      <c r="K133" s="6">
        <f t="shared" si="21"/>
        <v>1979.78</v>
      </c>
      <c r="L133" s="5" t="s">
        <v>18</v>
      </c>
      <c r="M133" s="31">
        <f t="shared" si="22"/>
        <v>1979.78</v>
      </c>
      <c r="N133" s="33">
        <f t="shared" si="23"/>
        <v>1889.79</v>
      </c>
      <c r="O133" s="31" t="str">
        <f t="shared" si="24"/>
        <v>June</v>
      </c>
      <c r="P133" s="33">
        <f t="shared" si="25"/>
        <v>-1889.79</v>
      </c>
      <c r="Q133" s="33">
        <f t="shared" si="26"/>
        <v>0.95454545454545459</v>
      </c>
      <c r="R133" s="33">
        <f t="shared" si="27"/>
        <v>89.99</v>
      </c>
      <c r="S133" s="33" t="str">
        <f t="shared" si="28"/>
        <v>Large</v>
      </c>
      <c r="T133" s="33" t="str">
        <f t="shared" si="29"/>
        <v>High</v>
      </c>
    </row>
    <row r="134" spans="1:20" x14ac:dyDescent="0.3">
      <c r="A134" s="2" t="s">
        <v>275</v>
      </c>
      <c r="B134" s="2" t="s">
        <v>276</v>
      </c>
      <c r="C134" s="2" t="s">
        <v>52</v>
      </c>
      <c r="D134" s="2" t="s">
        <v>33</v>
      </c>
      <c r="E134" s="2" t="s">
        <v>93</v>
      </c>
      <c r="F134" s="2" t="s">
        <v>24</v>
      </c>
      <c r="G134" s="2">
        <v>10</v>
      </c>
      <c r="H134" s="3">
        <v>599</v>
      </c>
      <c r="I134" s="3">
        <f t="shared" si="20"/>
        <v>5990</v>
      </c>
      <c r="J134" s="4">
        <v>10</v>
      </c>
      <c r="K134" s="3">
        <f t="shared" si="21"/>
        <v>5391</v>
      </c>
      <c r="L134" s="2" t="s">
        <v>18</v>
      </c>
      <c r="M134" s="31">
        <f t="shared" si="22"/>
        <v>5990</v>
      </c>
      <c r="N134" s="33">
        <f t="shared" si="23"/>
        <v>5391</v>
      </c>
      <c r="O134" s="31" t="str">
        <f t="shared" si="24"/>
        <v>June</v>
      </c>
      <c r="P134" s="33">
        <f t="shared" si="25"/>
        <v>-4792</v>
      </c>
      <c r="Q134" s="33">
        <f t="shared" si="26"/>
        <v>1</v>
      </c>
      <c r="R134" s="33">
        <f t="shared" si="27"/>
        <v>539.1</v>
      </c>
      <c r="S134" s="33" t="str">
        <f t="shared" si="28"/>
        <v>Large</v>
      </c>
      <c r="T134" s="33" t="str">
        <f t="shared" si="29"/>
        <v>High</v>
      </c>
    </row>
    <row r="135" spans="1:20" x14ac:dyDescent="0.3">
      <c r="A135" s="5" t="s">
        <v>277</v>
      </c>
      <c r="B135" s="5" t="s">
        <v>278</v>
      </c>
      <c r="C135" s="5" t="s">
        <v>28</v>
      </c>
      <c r="D135" s="5" t="s">
        <v>22</v>
      </c>
      <c r="E135" s="5" t="s">
        <v>93</v>
      </c>
      <c r="F135" s="5" t="s">
        <v>24</v>
      </c>
      <c r="G135" s="5">
        <v>10</v>
      </c>
      <c r="H135" s="6">
        <v>599</v>
      </c>
      <c r="I135" s="6">
        <f t="shared" si="20"/>
        <v>5990</v>
      </c>
      <c r="J135" s="7">
        <v>0</v>
      </c>
      <c r="K135" s="6">
        <f t="shared" si="21"/>
        <v>5990</v>
      </c>
      <c r="L135" s="5" t="s">
        <v>18</v>
      </c>
      <c r="M135" s="31">
        <f t="shared" si="22"/>
        <v>5990</v>
      </c>
      <c r="N135" s="33">
        <f t="shared" si="23"/>
        <v>5391</v>
      </c>
      <c r="O135" s="31" t="str">
        <f t="shared" si="24"/>
        <v>June</v>
      </c>
      <c r="P135" s="33">
        <f t="shared" si="25"/>
        <v>-5391</v>
      </c>
      <c r="Q135" s="33">
        <f t="shared" si="26"/>
        <v>0.9</v>
      </c>
      <c r="R135" s="33">
        <f t="shared" si="27"/>
        <v>599</v>
      </c>
      <c r="S135" s="33" t="str">
        <f t="shared" si="28"/>
        <v>Large</v>
      </c>
      <c r="T135" s="33" t="str">
        <f t="shared" si="29"/>
        <v>High</v>
      </c>
    </row>
    <row r="136" spans="1:20" x14ac:dyDescent="0.3">
      <c r="A136" s="2" t="s">
        <v>279</v>
      </c>
      <c r="B136" s="2" t="s">
        <v>280</v>
      </c>
      <c r="C136" s="2" t="s">
        <v>52</v>
      </c>
      <c r="D136" s="2" t="s">
        <v>33</v>
      </c>
      <c r="E136" s="2" t="s">
        <v>90</v>
      </c>
      <c r="F136" s="2" t="s">
        <v>24</v>
      </c>
      <c r="G136" s="2">
        <v>20</v>
      </c>
      <c r="H136" s="3">
        <v>149.99</v>
      </c>
      <c r="I136" s="3">
        <f t="shared" si="20"/>
        <v>2999.8</v>
      </c>
      <c r="J136" s="4">
        <v>0</v>
      </c>
      <c r="K136" s="3">
        <f t="shared" si="21"/>
        <v>2999.8</v>
      </c>
      <c r="L136" s="2" t="s">
        <v>18</v>
      </c>
      <c r="M136" s="31">
        <f t="shared" si="22"/>
        <v>2999.8</v>
      </c>
      <c r="N136" s="33">
        <f t="shared" si="23"/>
        <v>2849.8100000000004</v>
      </c>
      <c r="O136" s="31" t="str">
        <f t="shared" si="24"/>
        <v>June</v>
      </c>
      <c r="P136" s="33">
        <f t="shared" si="25"/>
        <v>-2849.8100000000004</v>
      </c>
      <c r="Q136" s="33">
        <f t="shared" si="26"/>
        <v>0.95000000000000007</v>
      </c>
      <c r="R136" s="33">
        <f t="shared" si="27"/>
        <v>149.99</v>
      </c>
      <c r="S136" s="33" t="str">
        <f t="shared" si="28"/>
        <v>Large</v>
      </c>
      <c r="T136" s="33" t="str">
        <f t="shared" si="29"/>
        <v>High</v>
      </c>
    </row>
    <row r="137" spans="1:20" x14ac:dyDescent="0.3">
      <c r="A137" s="5" t="s">
        <v>281</v>
      </c>
      <c r="B137" s="5" t="s">
        <v>282</v>
      </c>
      <c r="C137" s="5" t="s">
        <v>28</v>
      </c>
      <c r="D137" s="5" t="s">
        <v>22</v>
      </c>
      <c r="E137" s="5" t="s">
        <v>90</v>
      </c>
      <c r="F137" s="5" t="s">
        <v>24</v>
      </c>
      <c r="G137" s="5">
        <v>22</v>
      </c>
      <c r="H137" s="6">
        <v>149.99</v>
      </c>
      <c r="I137" s="6">
        <f t="shared" si="20"/>
        <v>3299.78</v>
      </c>
      <c r="J137" s="7">
        <v>10</v>
      </c>
      <c r="K137" s="6">
        <f t="shared" si="21"/>
        <v>2969.8020000000001</v>
      </c>
      <c r="L137" s="5" t="s">
        <v>18</v>
      </c>
      <c r="M137" s="31">
        <f t="shared" si="22"/>
        <v>3299.78</v>
      </c>
      <c r="N137" s="33">
        <f t="shared" si="23"/>
        <v>3149.79</v>
      </c>
      <c r="O137" s="31" t="str">
        <f t="shared" si="24"/>
        <v>June</v>
      </c>
      <c r="P137" s="33">
        <f t="shared" si="25"/>
        <v>-2819.8119999999999</v>
      </c>
      <c r="Q137" s="33">
        <f t="shared" si="26"/>
        <v>1.0606060606060606</v>
      </c>
      <c r="R137" s="33">
        <f t="shared" si="27"/>
        <v>134.99100000000001</v>
      </c>
      <c r="S137" s="33" t="str">
        <f t="shared" si="28"/>
        <v>Large</v>
      </c>
      <c r="T137" s="33" t="str">
        <f t="shared" si="29"/>
        <v>High</v>
      </c>
    </row>
    <row r="138" spans="1:20" x14ac:dyDescent="0.3">
      <c r="A138" s="2" t="s">
        <v>283</v>
      </c>
      <c r="B138" s="2" t="s">
        <v>284</v>
      </c>
      <c r="C138" s="2" t="s">
        <v>37</v>
      </c>
      <c r="D138" s="2" t="s">
        <v>38</v>
      </c>
      <c r="E138" s="2" t="s">
        <v>87</v>
      </c>
      <c r="F138" s="2" t="s">
        <v>61</v>
      </c>
      <c r="G138" s="2">
        <v>30</v>
      </c>
      <c r="H138" s="3">
        <v>299</v>
      </c>
      <c r="I138" s="3">
        <f t="shared" si="20"/>
        <v>8970</v>
      </c>
      <c r="J138" s="4">
        <v>0</v>
      </c>
      <c r="K138" s="3">
        <f t="shared" si="21"/>
        <v>8970</v>
      </c>
      <c r="L138" s="2" t="s">
        <v>18</v>
      </c>
      <c r="M138" s="31">
        <f t="shared" si="22"/>
        <v>8970</v>
      </c>
      <c r="N138" s="33">
        <f t="shared" si="23"/>
        <v>8671</v>
      </c>
      <c r="O138" s="31" t="str">
        <f t="shared" si="24"/>
        <v>June</v>
      </c>
      <c r="P138" s="33">
        <f t="shared" si="25"/>
        <v>-8671</v>
      </c>
      <c r="Q138" s="33">
        <f t="shared" si="26"/>
        <v>0.96666666666666667</v>
      </c>
      <c r="R138" s="33">
        <f t="shared" si="27"/>
        <v>299</v>
      </c>
      <c r="S138" s="33" t="str">
        <f t="shared" si="28"/>
        <v>Large</v>
      </c>
      <c r="T138" s="33" t="str">
        <f t="shared" si="29"/>
        <v>High</v>
      </c>
    </row>
    <row r="139" spans="1:20" x14ac:dyDescent="0.3">
      <c r="A139" s="8" t="s">
        <v>285</v>
      </c>
      <c r="B139" s="8" t="s">
        <v>284</v>
      </c>
      <c r="C139" s="8" t="s">
        <v>14</v>
      </c>
      <c r="D139" s="8" t="s">
        <v>15</v>
      </c>
      <c r="E139" s="8" t="s">
        <v>106</v>
      </c>
      <c r="F139" s="8" t="s">
        <v>17</v>
      </c>
      <c r="G139" s="8">
        <v>19</v>
      </c>
      <c r="H139" s="9">
        <v>199</v>
      </c>
      <c r="I139" s="9">
        <f t="shared" si="20"/>
        <v>3781</v>
      </c>
      <c r="J139" s="10">
        <v>0</v>
      </c>
      <c r="K139" s="9">
        <f t="shared" si="21"/>
        <v>3781</v>
      </c>
      <c r="L139" s="8" t="s">
        <v>72</v>
      </c>
      <c r="M139" s="31">
        <f t="shared" si="22"/>
        <v>3781</v>
      </c>
      <c r="N139" s="33">
        <f t="shared" si="23"/>
        <v>3582</v>
      </c>
      <c r="O139" s="31" t="str">
        <f t="shared" si="24"/>
        <v>June</v>
      </c>
      <c r="P139" s="33">
        <f t="shared" si="25"/>
        <v>-3582</v>
      </c>
      <c r="Q139" s="33">
        <f t="shared" si="26"/>
        <v>0.94736842105263153</v>
      </c>
      <c r="R139" s="33">
        <f t="shared" si="27"/>
        <v>199</v>
      </c>
      <c r="S139" s="33" t="str">
        <f t="shared" si="28"/>
        <v>Large</v>
      </c>
      <c r="T139" s="33" t="str">
        <f t="shared" si="29"/>
        <v>High</v>
      </c>
    </row>
    <row r="140" spans="1:20" x14ac:dyDescent="0.3">
      <c r="A140" s="2" t="s">
        <v>286</v>
      </c>
      <c r="B140" s="2" t="s">
        <v>287</v>
      </c>
      <c r="C140" s="2" t="s">
        <v>41</v>
      </c>
      <c r="D140" s="2" t="s">
        <v>15</v>
      </c>
      <c r="E140" s="2" t="s">
        <v>188</v>
      </c>
      <c r="F140" s="2" t="s">
        <v>17</v>
      </c>
      <c r="G140" s="2">
        <v>13</v>
      </c>
      <c r="H140" s="3">
        <v>39.99</v>
      </c>
      <c r="I140" s="3">
        <f t="shared" si="20"/>
        <v>519.87</v>
      </c>
      <c r="J140" s="4">
        <v>8</v>
      </c>
      <c r="K140" s="3">
        <f t="shared" si="21"/>
        <v>478.28040000000004</v>
      </c>
      <c r="L140" s="2" t="s">
        <v>18</v>
      </c>
      <c r="M140" s="31">
        <f t="shared" si="22"/>
        <v>519.87</v>
      </c>
      <c r="N140" s="33">
        <f t="shared" si="23"/>
        <v>479.88</v>
      </c>
      <c r="O140" s="31" t="str">
        <f t="shared" si="24"/>
        <v>June</v>
      </c>
      <c r="P140" s="33">
        <f t="shared" si="25"/>
        <v>-438.29040000000003</v>
      </c>
      <c r="Q140" s="33">
        <f t="shared" si="26"/>
        <v>1.0033444816053512</v>
      </c>
      <c r="R140" s="33">
        <f t="shared" si="27"/>
        <v>36.790800000000004</v>
      </c>
      <c r="S140" s="33" t="str">
        <f t="shared" si="28"/>
        <v>Large</v>
      </c>
      <c r="T140" s="33" t="str">
        <f t="shared" si="29"/>
        <v>High</v>
      </c>
    </row>
    <row r="141" spans="1:20" x14ac:dyDescent="0.3">
      <c r="A141" s="14" t="s">
        <v>288</v>
      </c>
      <c r="B141" s="14" t="s">
        <v>289</v>
      </c>
      <c r="C141" s="14" t="s">
        <v>80</v>
      </c>
      <c r="D141" s="14" t="s">
        <v>22</v>
      </c>
      <c r="E141" s="14" t="s">
        <v>144</v>
      </c>
      <c r="F141" s="14" t="s">
        <v>30</v>
      </c>
      <c r="G141" s="14">
        <v>18</v>
      </c>
      <c r="H141" s="15">
        <v>79.989999999999995</v>
      </c>
      <c r="I141" s="15">
        <f t="shared" si="20"/>
        <v>1439.82</v>
      </c>
      <c r="J141" s="16">
        <v>8</v>
      </c>
      <c r="K141" s="15">
        <f t="shared" si="21"/>
        <v>1324.6343999999999</v>
      </c>
      <c r="L141" s="14" t="s">
        <v>132</v>
      </c>
      <c r="M141" s="31">
        <f t="shared" si="22"/>
        <v>1439.82</v>
      </c>
      <c r="N141" s="33">
        <f t="shared" si="23"/>
        <v>1359.83</v>
      </c>
      <c r="O141" s="31" t="str">
        <f t="shared" si="24"/>
        <v>June</v>
      </c>
      <c r="P141" s="33">
        <f t="shared" si="25"/>
        <v>-1244.6443999999999</v>
      </c>
      <c r="Q141" s="33">
        <f t="shared" si="26"/>
        <v>1.0265700483091789</v>
      </c>
      <c r="R141" s="33">
        <f t="shared" si="27"/>
        <v>73.590800000000002</v>
      </c>
      <c r="S141" s="33" t="str">
        <f t="shared" si="28"/>
        <v>Large</v>
      </c>
      <c r="T141" s="33" t="str">
        <f t="shared" si="29"/>
        <v>Low</v>
      </c>
    </row>
    <row r="142" spans="1:20" x14ac:dyDescent="0.3">
      <c r="A142" s="2" t="s">
        <v>290</v>
      </c>
      <c r="B142" s="2" t="s">
        <v>289</v>
      </c>
      <c r="C142" s="2" t="s">
        <v>52</v>
      </c>
      <c r="D142" s="2" t="s">
        <v>33</v>
      </c>
      <c r="E142" s="2" t="s">
        <v>74</v>
      </c>
      <c r="F142" s="2" t="s">
        <v>30</v>
      </c>
      <c r="G142" s="2">
        <v>19</v>
      </c>
      <c r="H142" s="3">
        <v>49.99</v>
      </c>
      <c r="I142" s="3">
        <f t="shared" si="20"/>
        <v>949.81000000000006</v>
      </c>
      <c r="J142" s="4">
        <v>5</v>
      </c>
      <c r="K142" s="3">
        <f t="shared" si="21"/>
        <v>902.31950000000006</v>
      </c>
      <c r="L142" s="2" t="s">
        <v>18</v>
      </c>
      <c r="M142" s="31">
        <f t="shared" si="22"/>
        <v>949.81000000000006</v>
      </c>
      <c r="N142" s="33">
        <f t="shared" si="23"/>
        <v>899.82</v>
      </c>
      <c r="O142" s="31" t="str">
        <f t="shared" si="24"/>
        <v>June</v>
      </c>
      <c r="P142" s="33">
        <f t="shared" si="25"/>
        <v>-852.32950000000005</v>
      </c>
      <c r="Q142" s="33">
        <f t="shared" si="26"/>
        <v>0.99722991689750695</v>
      </c>
      <c r="R142" s="33">
        <f t="shared" si="27"/>
        <v>47.490500000000004</v>
      </c>
      <c r="S142" s="33" t="str">
        <f t="shared" si="28"/>
        <v>Large</v>
      </c>
      <c r="T142" s="33" t="str">
        <f t="shared" si="29"/>
        <v>High</v>
      </c>
    </row>
    <row r="143" spans="1:20" x14ac:dyDescent="0.3">
      <c r="A143" s="8" t="s">
        <v>291</v>
      </c>
      <c r="B143" s="8" t="s">
        <v>289</v>
      </c>
      <c r="C143" s="8" t="s">
        <v>37</v>
      </c>
      <c r="D143" s="8" t="s">
        <v>38</v>
      </c>
      <c r="E143" s="8" t="s">
        <v>99</v>
      </c>
      <c r="F143" s="8" t="s">
        <v>30</v>
      </c>
      <c r="G143" s="8">
        <v>2</v>
      </c>
      <c r="H143" s="9">
        <v>89.99</v>
      </c>
      <c r="I143" s="9">
        <f t="shared" si="20"/>
        <v>179.98</v>
      </c>
      <c r="J143" s="10">
        <v>15</v>
      </c>
      <c r="K143" s="9">
        <f t="shared" si="21"/>
        <v>152.98299999999998</v>
      </c>
      <c r="L143" s="8" t="s">
        <v>72</v>
      </c>
      <c r="M143" s="31">
        <f t="shared" si="22"/>
        <v>179.98</v>
      </c>
      <c r="N143" s="33">
        <f t="shared" si="23"/>
        <v>89.99</v>
      </c>
      <c r="O143" s="31" t="str">
        <f t="shared" si="24"/>
        <v>June</v>
      </c>
      <c r="P143" s="33">
        <f t="shared" si="25"/>
        <v>-62.992999999999981</v>
      </c>
      <c r="Q143" s="33">
        <f t="shared" si="26"/>
        <v>0.58823529411764708</v>
      </c>
      <c r="R143" s="33">
        <f t="shared" si="27"/>
        <v>76.491499999999988</v>
      </c>
      <c r="S143" s="33" t="str">
        <f t="shared" si="28"/>
        <v>Small</v>
      </c>
      <c r="T143" s="33" t="str">
        <f t="shared" si="29"/>
        <v>Low</v>
      </c>
    </row>
    <row r="144" spans="1:20" x14ac:dyDescent="0.3">
      <c r="A144" s="2" t="s">
        <v>292</v>
      </c>
      <c r="B144" s="2" t="s">
        <v>293</v>
      </c>
      <c r="C144" s="2" t="s">
        <v>14</v>
      </c>
      <c r="D144" s="2" t="s">
        <v>15</v>
      </c>
      <c r="E144" s="2" t="s">
        <v>29</v>
      </c>
      <c r="F144" s="2" t="s">
        <v>30</v>
      </c>
      <c r="G144" s="2">
        <v>28</v>
      </c>
      <c r="H144" s="3">
        <v>29.99</v>
      </c>
      <c r="I144" s="3">
        <f t="shared" si="20"/>
        <v>839.71999999999991</v>
      </c>
      <c r="J144" s="4">
        <v>0</v>
      </c>
      <c r="K144" s="3">
        <f t="shared" si="21"/>
        <v>839.71999999999991</v>
      </c>
      <c r="L144" s="2" t="s">
        <v>18</v>
      </c>
      <c r="M144" s="31">
        <f t="shared" si="22"/>
        <v>839.71999999999991</v>
      </c>
      <c r="N144" s="33">
        <f t="shared" si="23"/>
        <v>809.7299999999999</v>
      </c>
      <c r="O144" s="31" t="str">
        <f t="shared" si="24"/>
        <v>July</v>
      </c>
      <c r="P144" s="33">
        <f t="shared" si="25"/>
        <v>-809.7299999999999</v>
      </c>
      <c r="Q144" s="33">
        <f t="shared" si="26"/>
        <v>0.9642857142857143</v>
      </c>
      <c r="R144" s="33">
        <f t="shared" si="27"/>
        <v>29.99</v>
      </c>
      <c r="S144" s="33" t="str">
        <f t="shared" si="28"/>
        <v>Large</v>
      </c>
      <c r="T144" s="33" t="str">
        <f t="shared" si="29"/>
        <v>Low</v>
      </c>
    </row>
    <row r="145" spans="1:20" x14ac:dyDescent="0.3">
      <c r="A145" s="14" t="s">
        <v>294</v>
      </c>
      <c r="B145" s="14" t="s">
        <v>293</v>
      </c>
      <c r="C145" s="14" t="s">
        <v>14</v>
      </c>
      <c r="D145" s="14" t="s">
        <v>15</v>
      </c>
      <c r="E145" s="14" t="s">
        <v>141</v>
      </c>
      <c r="F145" s="14" t="s">
        <v>17</v>
      </c>
      <c r="G145" s="14">
        <v>5</v>
      </c>
      <c r="H145" s="15">
        <v>169</v>
      </c>
      <c r="I145" s="15">
        <f t="shared" si="20"/>
        <v>845</v>
      </c>
      <c r="J145" s="16">
        <v>0</v>
      </c>
      <c r="K145" s="15">
        <f t="shared" si="21"/>
        <v>845</v>
      </c>
      <c r="L145" s="14" t="s">
        <v>132</v>
      </c>
      <c r="M145" s="31">
        <f t="shared" si="22"/>
        <v>845</v>
      </c>
      <c r="N145" s="33">
        <f t="shared" si="23"/>
        <v>676</v>
      </c>
      <c r="O145" s="31" t="str">
        <f t="shared" si="24"/>
        <v>July</v>
      </c>
      <c r="P145" s="33">
        <f t="shared" si="25"/>
        <v>-676</v>
      </c>
      <c r="Q145" s="33">
        <f t="shared" si="26"/>
        <v>0.8</v>
      </c>
      <c r="R145" s="33">
        <f t="shared" si="27"/>
        <v>169</v>
      </c>
      <c r="S145" s="33" t="str">
        <f t="shared" si="28"/>
        <v>Small</v>
      </c>
      <c r="T145" s="33" t="str">
        <f t="shared" si="29"/>
        <v>Low</v>
      </c>
    </row>
    <row r="146" spans="1:20" x14ac:dyDescent="0.3">
      <c r="A146" s="2" t="s">
        <v>295</v>
      </c>
      <c r="B146" s="2" t="s">
        <v>296</v>
      </c>
      <c r="C146" s="2" t="s">
        <v>32</v>
      </c>
      <c r="D146" s="2" t="s">
        <v>33</v>
      </c>
      <c r="E146" s="2" t="s">
        <v>74</v>
      </c>
      <c r="F146" s="2" t="s">
        <v>30</v>
      </c>
      <c r="G146" s="2">
        <v>8</v>
      </c>
      <c r="H146" s="3">
        <v>49.99</v>
      </c>
      <c r="I146" s="3">
        <f t="shared" si="20"/>
        <v>399.92</v>
      </c>
      <c r="J146" s="4">
        <v>8</v>
      </c>
      <c r="K146" s="3">
        <f t="shared" si="21"/>
        <v>367.92640000000006</v>
      </c>
      <c r="L146" s="2" t="s">
        <v>18</v>
      </c>
      <c r="M146" s="31">
        <f t="shared" si="22"/>
        <v>399.92</v>
      </c>
      <c r="N146" s="33">
        <f t="shared" si="23"/>
        <v>349.93</v>
      </c>
      <c r="O146" s="31" t="str">
        <f t="shared" si="24"/>
        <v>July</v>
      </c>
      <c r="P146" s="33">
        <f t="shared" si="25"/>
        <v>-317.93640000000005</v>
      </c>
      <c r="Q146" s="33">
        <f t="shared" si="26"/>
        <v>0.95108695652173902</v>
      </c>
      <c r="R146" s="33">
        <f t="shared" si="27"/>
        <v>45.990800000000007</v>
      </c>
      <c r="S146" s="33" t="str">
        <f t="shared" si="28"/>
        <v>Small</v>
      </c>
      <c r="T146" s="33" t="str">
        <f t="shared" si="29"/>
        <v>Low</v>
      </c>
    </row>
    <row r="147" spans="1:20" x14ac:dyDescent="0.3">
      <c r="A147" s="5" t="s">
        <v>297</v>
      </c>
      <c r="B147" s="5" t="s">
        <v>296</v>
      </c>
      <c r="C147" s="5" t="s">
        <v>28</v>
      </c>
      <c r="D147" s="5" t="s">
        <v>22</v>
      </c>
      <c r="E147" s="5" t="s">
        <v>87</v>
      </c>
      <c r="F147" s="5" t="s">
        <v>61</v>
      </c>
      <c r="G147" s="5">
        <v>22</v>
      </c>
      <c r="H147" s="6">
        <v>299</v>
      </c>
      <c r="I147" s="6">
        <f t="shared" si="20"/>
        <v>6578</v>
      </c>
      <c r="J147" s="7">
        <v>10</v>
      </c>
      <c r="K147" s="6">
        <f t="shared" si="21"/>
        <v>5920.2</v>
      </c>
      <c r="L147" s="5" t="s">
        <v>18</v>
      </c>
      <c r="M147" s="31">
        <f t="shared" si="22"/>
        <v>6578</v>
      </c>
      <c r="N147" s="33">
        <f t="shared" si="23"/>
        <v>6279</v>
      </c>
      <c r="O147" s="31" t="str">
        <f t="shared" si="24"/>
        <v>July</v>
      </c>
      <c r="P147" s="33">
        <f t="shared" si="25"/>
        <v>-5621.2</v>
      </c>
      <c r="Q147" s="33">
        <f t="shared" si="26"/>
        <v>1.0606060606060606</v>
      </c>
      <c r="R147" s="33">
        <f t="shared" si="27"/>
        <v>269.09999999999997</v>
      </c>
      <c r="S147" s="33" t="str">
        <f t="shared" si="28"/>
        <v>Large</v>
      </c>
      <c r="T147" s="33" t="str">
        <f t="shared" si="29"/>
        <v>Low</v>
      </c>
    </row>
    <row r="148" spans="1:20" x14ac:dyDescent="0.3">
      <c r="A148" s="2" t="s">
        <v>298</v>
      </c>
      <c r="B148" s="2" t="s">
        <v>299</v>
      </c>
      <c r="C148" s="2" t="s">
        <v>14</v>
      </c>
      <c r="D148" s="2" t="s">
        <v>15</v>
      </c>
      <c r="E148" s="2" t="s">
        <v>29</v>
      </c>
      <c r="F148" s="2" t="s">
        <v>30</v>
      </c>
      <c r="G148" s="2">
        <v>17</v>
      </c>
      <c r="H148" s="3">
        <v>29.99</v>
      </c>
      <c r="I148" s="3">
        <f t="shared" si="20"/>
        <v>509.83</v>
      </c>
      <c r="J148" s="4">
        <v>10</v>
      </c>
      <c r="K148" s="3">
        <f t="shared" si="21"/>
        <v>458.84699999999998</v>
      </c>
      <c r="L148" s="2" t="s">
        <v>18</v>
      </c>
      <c r="M148" s="31">
        <f t="shared" si="22"/>
        <v>509.83</v>
      </c>
      <c r="N148" s="33">
        <f t="shared" si="23"/>
        <v>479.84</v>
      </c>
      <c r="O148" s="31" t="str">
        <f t="shared" si="24"/>
        <v>July</v>
      </c>
      <c r="P148" s="33">
        <f t="shared" si="25"/>
        <v>-428.85699999999997</v>
      </c>
      <c r="Q148" s="33">
        <f t="shared" si="26"/>
        <v>1.0457516339869282</v>
      </c>
      <c r="R148" s="33">
        <f t="shared" si="27"/>
        <v>26.991</v>
      </c>
      <c r="S148" s="33" t="str">
        <f t="shared" si="28"/>
        <v>Large</v>
      </c>
      <c r="T148" s="33" t="str">
        <f t="shared" si="29"/>
        <v>High</v>
      </c>
    </row>
    <row r="149" spans="1:20" x14ac:dyDescent="0.3">
      <c r="A149" s="5" t="s">
        <v>300</v>
      </c>
      <c r="B149" s="5" t="s">
        <v>301</v>
      </c>
      <c r="C149" s="5" t="s">
        <v>21</v>
      </c>
      <c r="D149" s="5" t="s">
        <v>22</v>
      </c>
      <c r="E149" s="5" t="s">
        <v>147</v>
      </c>
      <c r="F149" s="5" t="s">
        <v>24</v>
      </c>
      <c r="G149" s="5">
        <v>28</v>
      </c>
      <c r="H149" s="6">
        <v>79.989999999999995</v>
      </c>
      <c r="I149" s="6">
        <f t="shared" si="20"/>
        <v>2239.7199999999998</v>
      </c>
      <c r="J149" s="7">
        <v>12</v>
      </c>
      <c r="K149" s="6">
        <f t="shared" si="21"/>
        <v>1970.9535999999998</v>
      </c>
      <c r="L149" s="5" t="s">
        <v>18</v>
      </c>
      <c r="M149" s="31">
        <f t="shared" si="22"/>
        <v>2239.7199999999998</v>
      </c>
      <c r="N149" s="33">
        <f t="shared" si="23"/>
        <v>2159.73</v>
      </c>
      <c r="O149" s="31" t="str">
        <f t="shared" si="24"/>
        <v>July</v>
      </c>
      <c r="P149" s="33">
        <f t="shared" si="25"/>
        <v>-1890.9635999999998</v>
      </c>
      <c r="Q149" s="33">
        <f t="shared" si="26"/>
        <v>1.095779220779221</v>
      </c>
      <c r="R149" s="33">
        <f t="shared" si="27"/>
        <v>70.391199999999998</v>
      </c>
      <c r="S149" s="33" t="str">
        <f t="shared" si="28"/>
        <v>Large</v>
      </c>
      <c r="T149" s="33" t="str">
        <f t="shared" si="29"/>
        <v>Low</v>
      </c>
    </row>
    <row r="150" spans="1:20" x14ac:dyDescent="0.3">
      <c r="A150" s="2" t="s">
        <v>302</v>
      </c>
      <c r="B150" s="2" t="s">
        <v>303</v>
      </c>
      <c r="C150" s="2" t="s">
        <v>14</v>
      </c>
      <c r="D150" s="2" t="s">
        <v>15</v>
      </c>
      <c r="E150" s="2" t="s">
        <v>23</v>
      </c>
      <c r="F150" s="2" t="s">
        <v>24</v>
      </c>
      <c r="G150" s="2">
        <v>17</v>
      </c>
      <c r="H150" s="3">
        <v>999</v>
      </c>
      <c r="I150" s="3">
        <f t="shared" si="20"/>
        <v>16983</v>
      </c>
      <c r="J150" s="4">
        <v>0</v>
      </c>
      <c r="K150" s="3">
        <f t="shared" si="21"/>
        <v>16983</v>
      </c>
      <c r="L150" s="2" t="s">
        <v>18</v>
      </c>
      <c r="M150" s="31">
        <f t="shared" si="22"/>
        <v>16983</v>
      </c>
      <c r="N150" s="33">
        <f t="shared" si="23"/>
        <v>15984</v>
      </c>
      <c r="O150" s="31" t="str">
        <f t="shared" si="24"/>
        <v>July</v>
      </c>
      <c r="P150" s="33">
        <f t="shared" si="25"/>
        <v>-15984</v>
      </c>
      <c r="Q150" s="33">
        <f t="shared" si="26"/>
        <v>0.94117647058823528</v>
      </c>
      <c r="R150" s="33">
        <f t="shared" si="27"/>
        <v>999</v>
      </c>
      <c r="S150" s="33" t="str">
        <f t="shared" si="28"/>
        <v>Large</v>
      </c>
      <c r="T150" s="33" t="str">
        <f t="shared" si="29"/>
        <v>High</v>
      </c>
    </row>
    <row r="151" spans="1:20" x14ac:dyDescent="0.3">
      <c r="A151" s="5" t="s">
        <v>304</v>
      </c>
      <c r="B151" s="5" t="s">
        <v>303</v>
      </c>
      <c r="C151" s="5" t="s">
        <v>14</v>
      </c>
      <c r="D151" s="5" t="s">
        <v>15</v>
      </c>
      <c r="E151" s="5" t="s">
        <v>103</v>
      </c>
      <c r="F151" s="5" t="s">
        <v>61</v>
      </c>
      <c r="G151" s="5">
        <v>15</v>
      </c>
      <c r="H151" s="6">
        <v>99</v>
      </c>
      <c r="I151" s="6">
        <f t="shared" si="20"/>
        <v>1485</v>
      </c>
      <c r="J151" s="7">
        <v>5</v>
      </c>
      <c r="K151" s="6">
        <f t="shared" si="21"/>
        <v>1410.75</v>
      </c>
      <c r="L151" s="5" t="s">
        <v>18</v>
      </c>
      <c r="M151" s="31">
        <f t="shared" si="22"/>
        <v>1485</v>
      </c>
      <c r="N151" s="33">
        <f t="shared" si="23"/>
        <v>1386</v>
      </c>
      <c r="O151" s="31" t="str">
        <f t="shared" si="24"/>
        <v>July</v>
      </c>
      <c r="P151" s="33">
        <f t="shared" si="25"/>
        <v>-1311.75</v>
      </c>
      <c r="Q151" s="33">
        <f t="shared" si="26"/>
        <v>0.98245614035087714</v>
      </c>
      <c r="R151" s="33">
        <f t="shared" si="27"/>
        <v>94.05</v>
      </c>
      <c r="S151" s="33" t="str">
        <f t="shared" si="28"/>
        <v>Large</v>
      </c>
      <c r="T151" s="33" t="str">
        <f t="shared" si="29"/>
        <v>High</v>
      </c>
    </row>
    <row r="152" spans="1:20" x14ac:dyDescent="0.3">
      <c r="A152" s="11" t="s">
        <v>305</v>
      </c>
      <c r="B152" s="11" t="s">
        <v>306</v>
      </c>
      <c r="C152" s="11" t="s">
        <v>49</v>
      </c>
      <c r="D152" s="11" t="s">
        <v>38</v>
      </c>
      <c r="E152" s="11" t="s">
        <v>144</v>
      </c>
      <c r="F152" s="11" t="s">
        <v>30</v>
      </c>
      <c r="G152" s="11">
        <v>8</v>
      </c>
      <c r="H152" s="12">
        <v>79.989999999999995</v>
      </c>
      <c r="I152" s="12">
        <f t="shared" si="20"/>
        <v>639.91999999999996</v>
      </c>
      <c r="J152" s="13">
        <v>10</v>
      </c>
      <c r="K152" s="12">
        <f t="shared" si="21"/>
        <v>575.928</v>
      </c>
      <c r="L152" s="11" t="s">
        <v>72</v>
      </c>
      <c r="M152" s="31">
        <f t="shared" si="22"/>
        <v>639.91999999999996</v>
      </c>
      <c r="N152" s="33">
        <f t="shared" si="23"/>
        <v>559.92999999999995</v>
      </c>
      <c r="O152" s="31" t="str">
        <f t="shared" si="24"/>
        <v>July</v>
      </c>
      <c r="P152" s="33">
        <f t="shared" si="25"/>
        <v>-495.93799999999999</v>
      </c>
      <c r="Q152" s="33">
        <f t="shared" si="26"/>
        <v>0.9722222222222221</v>
      </c>
      <c r="R152" s="33">
        <f t="shared" si="27"/>
        <v>71.991</v>
      </c>
      <c r="S152" s="33" t="str">
        <f t="shared" si="28"/>
        <v>Small</v>
      </c>
      <c r="T152" s="33" t="str">
        <f t="shared" si="29"/>
        <v>High</v>
      </c>
    </row>
    <row r="153" spans="1:20" x14ac:dyDescent="0.3">
      <c r="A153" s="5" t="s">
        <v>307</v>
      </c>
      <c r="B153" s="5" t="s">
        <v>308</v>
      </c>
      <c r="C153" s="5" t="s">
        <v>28</v>
      </c>
      <c r="D153" s="5" t="s">
        <v>22</v>
      </c>
      <c r="E153" s="5" t="s">
        <v>157</v>
      </c>
      <c r="F153" s="5" t="s">
        <v>17</v>
      </c>
      <c r="G153" s="5">
        <v>9</v>
      </c>
      <c r="H153" s="6">
        <v>449</v>
      </c>
      <c r="I153" s="6">
        <f t="shared" si="20"/>
        <v>4041</v>
      </c>
      <c r="J153" s="7">
        <v>0</v>
      </c>
      <c r="K153" s="6">
        <f t="shared" si="21"/>
        <v>4041</v>
      </c>
      <c r="L153" s="5" t="s">
        <v>18</v>
      </c>
      <c r="M153" s="31">
        <f t="shared" si="22"/>
        <v>4041</v>
      </c>
      <c r="N153" s="33">
        <f t="shared" si="23"/>
        <v>3592</v>
      </c>
      <c r="O153" s="31" t="str">
        <f t="shared" si="24"/>
        <v>July</v>
      </c>
      <c r="P153" s="33">
        <f t="shared" si="25"/>
        <v>-3592</v>
      </c>
      <c r="Q153" s="33">
        <f t="shared" si="26"/>
        <v>0.88888888888888884</v>
      </c>
      <c r="R153" s="33">
        <f t="shared" si="27"/>
        <v>449</v>
      </c>
      <c r="S153" s="33" t="str">
        <f t="shared" si="28"/>
        <v>Small</v>
      </c>
      <c r="T153" s="33" t="str">
        <f t="shared" si="29"/>
        <v>Low</v>
      </c>
    </row>
    <row r="154" spans="1:20" x14ac:dyDescent="0.3">
      <c r="A154" s="2" t="s">
        <v>309</v>
      </c>
      <c r="B154" s="2" t="s">
        <v>308</v>
      </c>
      <c r="C154" s="2" t="s">
        <v>32</v>
      </c>
      <c r="D154" s="2" t="s">
        <v>33</v>
      </c>
      <c r="E154" s="2" t="s">
        <v>23</v>
      </c>
      <c r="F154" s="2" t="s">
        <v>24</v>
      </c>
      <c r="G154" s="2">
        <v>19</v>
      </c>
      <c r="H154" s="3">
        <v>999</v>
      </c>
      <c r="I154" s="3">
        <f t="shared" si="20"/>
        <v>18981</v>
      </c>
      <c r="J154" s="4">
        <v>0</v>
      </c>
      <c r="K154" s="3">
        <f t="shared" si="21"/>
        <v>18981</v>
      </c>
      <c r="L154" s="2" t="s">
        <v>18</v>
      </c>
      <c r="M154" s="31">
        <f t="shared" si="22"/>
        <v>18981</v>
      </c>
      <c r="N154" s="33">
        <f t="shared" si="23"/>
        <v>17982</v>
      </c>
      <c r="O154" s="31" t="str">
        <f t="shared" si="24"/>
        <v>July</v>
      </c>
      <c r="P154" s="33">
        <f t="shared" si="25"/>
        <v>-17982</v>
      </c>
      <c r="Q154" s="33">
        <f t="shared" si="26"/>
        <v>0.94736842105263153</v>
      </c>
      <c r="R154" s="33">
        <f t="shared" si="27"/>
        <v>999</v>
      </c>
      <c r="S154" s="33" t="str">
        <f t="shared" si="28"/>
        <v>Large</v>
      </c>
      <c r="T154" s="33" t="str">
        <f t="shared" si="29"/>
        <v>High</v>
      </c>
    </row>
    <row r="155" spans="1:20" x14ac:dyDescent="0.3">
      <c r="A155" s="8" t="s">
        <v>310</v>
      </c>
      <c r="B155" s="8" t="s">
        <v>311</v>
      </c>
      <c r="C155" s="8" t="s">
        <v>37</v>
      </c>
      <c r="D155" s="8" t="s">
        <v>38</v>
      </c>
      <c r="E155" s="8" t="s">
        <v>82</v>
      </c>
      <c r="F155" s="8" t="s">
        <v>61</v>
      </c>
      <c r="G155" s="8">
        <v>20</v>
      </c>
      <c r="H155" s="9">
        <v>59.99</v>
      </c>
      <c r="I155" s="9">
        <f t="shared" si="20"/>
        <v>1199.8</v>
      </c>
      <c r="J155" s="10">
        <v>8</v>
      </c>
      <c r="K155" s="9">
        <f t="shared" si="21"/>
        <v>1103.816</v>
      </c>
      <c r="L155" s="8" t="s">
        <v>72</v>
      </c>
      <c r="M155" s="31">
        <f t="shared" si="22"/>
        <v>1199.8</v>
      </c>
      <c r="N155" s="33">
        <f t="shared" si="23"/>
        <v>1139.81</v>
      </c>
      <c r="O155" s="31" t="str">
        <f t="shared" si="24"/>
        <v>July</v>
      </c>
      <c r="P155" s="33">
        <f t="shared" si="25"/>
        <v>-1043.826</v>
      </c>
      <c r="Q155" s="33">
        <f t="shared" si="26"/>
        <v>1.0326086956521738</v>
      </c>
      <c r="R155" s="33">
        <f t="shared" si="27"/>
        <v>55.190800000000003</v>
      </c>
      <c r="S155" s="33" t="str">
        <f t="shared" si="28"/>
        <v>Large</v>
      </c>
      <c r="T155" s="33" t="str">
        <f t="shared" si="29"/>
        <v>High</v>
      </c>
    </row>
    <row r="156" spans="1:20" x14ac:dyDescent="0.3">
      <c r="A156" s="2" t="s">
        <v>312</v>
      </c>
      <c r="B156" s="2" t="s">
        <v>311</v>
      </c>
      <c r="C156" s="2" t="s">
        <v>28</v>
      </c>
      <c r="D156" s="2" t="s">
        <v>22</v>
      </c>
      <c r="E156" s="2" t="s">
        <v>60</v>
      </c>
      <c r="F156" s="2" t="s">
        <v>61</v>
      </c>
      <c r="G156" s="2">
        <v>23</v>
      </c>
      <c r="H156" s="3">
        <v>49.99</v>
      </c>
      <c r="I156" s="3">
        <f t="shared" si="20"/>
        <v>1149.77</v>
      </c>
      <c r="J156" s="4">
        <v>0</v>
      </c>
      <c r="K156" s="3">
        <f t="shared" si="21"/>
        <v>1149.77</v>
      </c>
      <c r="L156" s="2" t="s">
        <v>18</v>
      </c>
      <c r="M156" s="31">
        <f t="shared" si="22"/>
        <v>1149.77</v>
      </c>
      <c r="N156" s="33">
        <f t="shared" si="23"/>
        <v>1099.78</v>
      </c>
      <c r="O156" s="31" t="str">
        <f t="shared" si="24"/>
        <v>July</v>
      </c>
      <c r="P156" s="33">
        <f t="shared" si="25"/>
        <v>-1099.78</v>
      </c>
      <c r="Q156" s="33">
        <f t="shared" si="26"/>
        <v>0.95652173913043481</v>
      </c>
      <c r="R156" s="33">
        <f t="shared" si="27"/>
        <v>49.99</v>
      </c>
      <c r="S156" s="33" t="str">
        <f t="shared" si="28"/>
        <v>Large</v>
      </c>
      <c r="T156" s="33" t="str">
        <f t="shared" si="29"/>
        <v>High</v>
      </c>
    </row>
    <row r="157" spans="1:20" x14ac:dyDescent="0.3">
      <c r="A157" s="5" t="s">
        <v>313</v>
      </c>
      <c r="B157" s="5" t="s">
        <v>311</v>
      </c>
      <c r="C157" s="5" t="s">
        <v>55</v>
      </c>
      <c r="D157" s="5" t="s">
        <v>38</v>
      </c>
      <c r="E157" s="5" t="s">
        <v>188</v>
      </c>
      <c r="F157" s="5" t="s">
        <v>17</v>
      </c>
      <c r="G157" s="5">
        <v>5</v>
      </c>
      <c r="H157" s="6">
        <v>39.99</v>
      </c>
      <c r="I157" s="6">
        <f t="shared" si="20"/>
        <v>199.95000000000002</v>
      </c>
      <c r="J157" s="7">
        <v>5</v>
      </c>
      <c r="K157" s="6">
        <f t="shared" si="21"/>
        <v>189.95250000000001</v>
      </c>
      <c r="L157" s="5" t="s">
        <v>18</v>
      </c>
      <c r="M157" s="31">
        <f t="shared" si="22"/>
        <v>199.95000000000002</v>
      </c>
      <c r="N157" s="33">
        <f t="shared" si="23"/>
        <v>159.96</v>
      </c>
      <c r="O157" s="31" t="str">
        <f t="shared" si="24"/>
        <v>July</v>
      </c>
      <c r="P157" s="33">
        <f t="shared" si="25"/>
        <v>-149.96250000000001</v>
      </c>
      <c r="Q157" s="33">
        <f t="shared" si="26"/>
        <v>0.84210526315789469</v>
      </c>
      <c r="R157" s="33">
        <f t="shared" si="27"/>
        <v>37.990500000000004</v>
      </c>
      <c r="S157" s="33" t="str">
        <f t="shared" si="28"/>
        <v>Small</v>
      </c>
      <c r="T157" s="33" t="str">
        <f t="shared" si="29"/>
        <v>High</v>
      </c>
    </row>
    <row r="158" spans="1:20" x14ac:dyDescent="0.3">
      <c r="A158" s="2" t="s">
        <v>314</v>
      </c>
      <c r="B158" s="2" t="s">
        <v>315</v>
      </c>
      <c r="C158" s="2" t="s">
        <v>32</v>
      </c>
      <c r="D158" s="2" t="s">
        <v>33</v>
      </c>
      <c r="E158" s="2" t="s">
        <v>74</v>
      </c>
      <c r="F158" s="2" t="s">
        <v>30</v>
      </c>
      <c r="G158" s="2">
        <v>26</v>
      </c>
      <c r="H158" s="3">
        <v>49.99</v>
      </c>
      <c r="I158" s="3">
        <f t="shared" si="20"/>
        <v>1299.74</v>
      </c>
      <c r="J158" s="4">
        <v>12</v>
      </c>
      <c r="K158" s="3">
        <f t="shared" si="21"/>
        <v>1143.7711999999999</v>
      </c>
      <c r="L158" s="2" t="s">
        <v>18</v>
      </c>
      <c r="M158" s="31">
        <f t="shared" si="22"/>
        <v>1299.74</v>
      </c>
      <c r="N158" s="33">
        <f t="shared" si="23"/>
        <v>1249.75</v>
      </c>
      <c r="O158" s="31" t="str">
        <f t="shared" si="24"/>
        <v>July</v>
      </c>
      <c r="P158" s="33">
        <f t="shared" si="25"/>
        <v>-1093.7811999999999</v>
      </c>
      <c r="Q158" s="33">
        <f t="shared" si="26"/>
        <v>1.0926573426573427</v>
      </c>
      <c r="R158" s="33">
        <f t="shared" si="27"/>
        <v>43.991199999999999</v>
      </c>
      <c r="S158" s="33" t="str">
        <f t="shared" si="28"/>
        <v>Large</v>
      </c>
      <c r="T158" s="33" t="str">
        <f t="shared" si="29"/>
        <v>Low</v>
      </c>
    </row>
    <row r="159" spans="1:20" x14ac:dyDescent="0.3">
      <c r="A159" s="5" t="s">
        <v>316</v>
      </c>
      <c r="B159" s="5" t="s">
        <v>317</v>
      </c>
      <c r="C159" s="5" t="s">
        <v>21</v>
      </c>
      <c r="D159" s="5" t="s">
        <v>22</v>
      </c>
      <c r="E159" s="5" t="s">
        <v>64</v>
      </c>
      <c r="F159" s="5" t="s">
        <v>24</v>
      </c>
      <c r="G159" s="5">
        <v>17</v>
      </c>
      <c r="H159" s="6">
        <v>1299</v>
      </c>
      <c r="I159" s="6">
        <f t="shared" si="20"/>
        <v>22083</v>
      </c>
      <c r="J159" s="7">
        <v>15</v>
      </c>
      <c r="K159" s="6">
        <f t="shared" si="21"/>
        <v>18770.55</v>
      </c>
      <c r="L159" s="5" t="s">
        <v>18</v>
      </c>
      <c r="M159" s="31">
        <f t="shared" si="22"/>
        <v>22083</v>
      </c>
      <c r="N159" s="33">
        <f t="shared" si="23"/>
        <v>20784</v>
      </c>
      <c r="O159" s="31" t="str">
        <f t="shared" si="24"/>
        <v>July</v>
      </c>
      <c r="P159" s="33">
        <f t="shared" si="25"/>
        <v>-17471.55</v>
      </c>
      <c r="Q159" s="33">
        <f t="shared" si="26"/>
        <v>1.1072664359861593</v>
      </c>
      <c r="R159" s="33">
        <f t="shared" si="27"/>
        <v>1104.1499999999999</v>
      </c>
      <c r="S159" s="33" t="str">
        <f t="shared" si="28"/>
        <v>Large</v>
      </c>
      <c r="T159" s="33" t="str">
        <f t="shared" si="29"/>
        <v>High</v>
      </c>
    </row>
    <row r="160" spans="1:20" x14ac:dyDescent="0.3">
      <c r="A160" s="11" t="s">
        <v>318</v>
      </c>
      <c r="B160" s="11" t="s">
        <v>319</v>
      </c>
      <c r="C160" s="11" t="s">
        <v>28</v>
      </c>
      <c r="D160" s="11" t="s">
        <v>22</v>
      </c>
      <c r="E160" s="11" t="s">
        <v>141</v>
      </c>
      <c r="F160" s="11" t="s">
        <v>17</v>
      </c>
      <c r="G160" s="11">
        <v>1</v>
      </c>
      <c r="H160" s="12">
        <v>169</v>
      </c>
      <c r="I160" s="12">
        <f t="shared" si="20"/>
        <v>169</v>
      </c>
      <c r="J160" s="13">
        <v>15</v>
      </c>
      <c r="K160" s="12">
        <f t="shared" si="21"/>
        <v>143.65</v>
      </c>
      <c r="L160" s="11" t="s">
        <v>72</v>
      </c>
      <c r="M160" s="31">
        <f t="shared" si="22"/>
        <v>169</v>
      </c>
      <c r="N160" s="33">
        <f t="shared" si="23"/>
        <v>0</v>
      </c>
      <c r="O160" s="31" t="str">
        <f t="shared" si="24"/>
        <v>July</v>
      </c>
      <c r="P160" s="33">
        <f t="shared" si="25"/>
        <v>25.349999999999994</v>
      </c>
      <c r="Q160" s="33">
        <f t="shared" si="26"/>
        <v>0</v>
      </c>
      <c r="R160" s="33">
        <f t="shared" si="27"/>
        <v>143.65</v>
      </c>
      <c r="S160" s="33" t="str">
        <f t="shared" si="28"/>
        <v>Small</v>
      </c>
      <c r="T160" s="33" t="str">
        <f t="shared" si="29"/>
        <v>High</v>
      </c>
    </row>
    <row r="161" spans="1:20" x14ac:dyDescent="0.3">
      <c r="A161" s="5" t="s">
        <v>320</v>
      </c>
      <c r="B161" s="5" t="s">
        <v>321</v>
      </c>
      <c r="C161" s="5" t="s">
        <v>80</v>
      </c>
      <c r="D161" s="5" t="s">
        <v>22</v>
      </c>
      <c r="E161" s="5" t="s">
        <v>60</v>
      </c>
      <c r="F161" s="5" t="s">
        <v>61</v>
      </c>
      <c r="G161" s="5">
        <v>1</v>
      </c>
      <c r="H161" s="6">
        <v>49.99</v>
      </c>
      <c r="I161" s="6">
        <f t="shared" si="20"/>
        <v>49.99</v>
      </c>
      <c r="J161" s="7">
        <v>5</v>
      </c>
      <c r="K161" s="6">
        <f t="shared" si="21"/>
        <v>47.490499999999997</v>
      </c>
      <c r="L161" s="5" t="s">
        <v>18</v>
      </c>
      <c r="M161" s="31">
        <f t="shared" si="22"/>
        <v>49.99</v>
      </c>
      <c r="N161" s="33">
        <f t="shared" si="23"/>
        <v>0</v>
      </c>
      <c r="O161" s="31" t="str">
        <f t="shared" si="24"/>
        <v>July</v>
      </c>
      <c r="P161" s="33">
        <f t="shared" si="25"/>
        <v>2.4995000000000047</v>
      </c>
      <c r="Q161" s="33">
        <f t="shared" si="26"/>
        <v>0</v>
      </c>
      <c r="R161" s="33">
        <f t="shared" si="27"/>
        <v>47.490499999999997</v>
      </c>
      <c r="S161" s="33" t="str">
        <f t="shared" si="28"/>
        <v>Small</v>
      </c>
      <c r="T161" s="33" t="str">
        <f t="shared" si="29"/>
        <v>Low</v>
      </c>
    </row>
    <row r="162" spans="1:20" x14ac:dyDescent="0.3">
      <c r="A162" s="2" t="s">
        <v>322</v>
      </c>
      <c r="B162" s="2" t="s">
        <v>321</v>
      </c>
      <c r="C162" s="2" t="s">
        <v>49</v>
      </c>
      <c r="D162" s="2" t="s">
        <v>38</v>
      </c>
      <c r="E162" s="2" t="s">
        <v>74</v>
      </c>
      <c r="F162" s="2" t="s">
        <v>30</v>
      </c>
      <c r="G162" s="2">
        <v>23</v>
      </c>
      <c r="H162" s="3">
        <v>49.99</v>
      </c>
      <c r="I162" s="3">
        <f t="shared" si="20"/>
        <v>1149.77</v>
      </c>
      <c r="J162" s="4">
        <v>12</v>
      </c>
      <c r="K162" s="3">
        <f t="shared" si="21"/>
        <v>1011.7976</v>
      </c>
      <c r="L162" s="2" t="s">
        <v>18</v>
      </c>
      <c r="M162" s="31">
        <f t="shared" si="22"/>
        <v>1149.77</v>
      </c>
      <c r="N162" s="33">
        <f t="shared" si="23"/>
        <v>1099.78</v>
      </c>
      <c r="O162" s="31" t="str">
        <f t="shared" si="24"/>
        <v>July</v>
      </c>
      <c r="P162" s="33">
        <f t="shared" si="25"/>
        <v>-961.80759999999998</v>
      </c>
      <c r="Q162" s="33">
        <f t="shared" si="26"/>
        <v>1.0869565217391304</v>
      </c>
      <c r="R162" s="33">
        <f t="shared" si="27"/>
        <v>43.991199999999999</v>
      </c>
      <c r="S162" s="33" t="str">
        <f t="shared" si="28"/>
        <v>Large</v>
      </c>
      <c r="T162" s="33" t="str">
        <f t="shared" si="29"/>
        <v>Low</v>
      </c>
    </row>
    <row r="163" spans="1:20" x14ac:dyDescent="0.3">
      <c r="A163" s="5" t="s">
        <v>323</v>
      </c>
      <c r="B163" s="5" t="s">
        <v>324</v>
      </c>
      <c r="C163" s="5" t="s">
        <v>41</v>
      </c>
      <c r="D163" s="5" t="s">
        <v>15</v>
      </c>
      <c r="E163" s="5" t="s">
        <v>66</v>
      </c>
      <c r="F163" s="5" t="s">
        <v>17</v>
      </c>
      <c r="G163" s="5">
        <v>16</v>
      </c>
      <c r="H163" s="6">
        <v>549</v>
      </c>
      <c r="I163" s="6">
        <f t="shared" si="20"/>
        <v>8784</v>
      </c>
      <c r="J163" s="7">
        <v>12</v>
      </c>
      <c r="K163" s="6">
        <f t="shared" si="21"/>
        <v>7729.92</v>
      </c>
      <c r="L163" s="5" t="s">
        <v>18</v>
      </c>
      <c r="M163" s="31">
        <f t="shared" si="22"/>
        <v>8784</v>
      </c>
      <c r="N163" s="33">
        <f t="shared" si="23"/>
        <v>8235</v>
      </c>
      <c r="O163" s="31" t="str">
        <f t="shared" si="24"/>
        <v>July</v>
      </c>
      <c r="P163" s="33">
        <f t="shared" si="25"/>
        <v>-7180.92</v>
      </c>
      <c r="Q163" s="33">
        <f t="shared" si="26"/>
        <v>1.0653409090909092</v>
      </c>
      <c r="R163" s="33">
        <f t="shared" si="27"/>
        <v>483.12</v>
      </c>
      <c r="S163" s="33" t="str">
        <f t="shared" si="28"/>
        <v>Large</v>
      </c>
      <c r="T163" s="33" t="str">
        <f t="shared" si="29"/>
        <v>High</v>
      </c>
    </row>
    <row r="164" spans="1:20" x14ac:dyDescent="0.3">
      <c r="A164" s="11" t="s">
        <v>325</v>
      </c>
      <c r="B164" s="11" t="s">
        <v>326</v>
      </c>
      <c r="C164" s="11" t="s">
        <v>49</v>
      </c>
      <c r="D164" s="11" t="s">
        <v>38</v>
      </c>
      <c r="E164" s="11" t="s">
        <v>23</v>
      </c>
      <c r="F164" s="11" t="s">
        <v>24</v>
      </c>
      <c r="G164" s="11">
        <v>20</v>
      </c>
      <c r="H164" s="12">
        <v>999</v>
      </c>
      <c r="I164" s="12">
        <f t="shared" si="20"/>
        <v>19980</v>
      </c>
      <c r="J164" s="13">
        <v>0</v>
      </c>
      <c r="K164" s="12">
        <f t="shared" si="21"/>
        <v>19980</v>
      </c>
      <c r="L164" s="11" t="s">
        <v>72</v>
      </c>
      <c r="M164" s="31">
        <f t="shared" si="22"/>
        <v>19980</v>
      </c>
      <c r="N164" s="33">
        <f t="shared" si="23"/>
        <v>18981</v>
      </c>
      <c r="O164" s="31" t="str">
        <f t="shared" si="24"/>
        <v>August</v>
      </c>
      <c r="P164" s="33">
        <f t="shared" si="25"/>
        <v>-18981</v>
      </c>
      <c r="Q164" s="33">
        <f t="shared" si="26"/>
        <v>0.95</v>
      </c>
      <c r="R164" s="33">
        <f t="shared" si="27"/>
        <v>999</v>
      </c>
      <c r="S164" s="33" t="str">
        <f t="shared" si="28"/>
        <v>Large</v>
      </c>
      <c r="T164" s="33" t="str">
        <f t="shared" si="29"/>
        <v>High</v>
      </c>
    </row>
    <row r="165" spans="1:20" x14ac:dyDescent="0.3">
      <c r="A165" s="8" t="s">
        <v>327</v>
      </c>
      <c r="B165" s="8" t="s">
        <v>328</v>
      </c>
      <c r="C165" s="8" t="s">
        <v>52</v>
      </c>
      <c r="D165" s="8" t="s">
        <v>33</v>
      </c>
      <c r="E165" s="8" t="s">
        <v>90</v>
      </c>
      <c r="F165" s="8" t="s">
        <v>24</v>
      </c>
      <c r="G165" s="8">
        <v>12</v>
      </c>
      <c r="H165" s="9">
        <v>149.99</v>
      </c>
      <c r="I165" s="9">
        <f t="shared" si="20"/>
        <v>1799.88</v>
      </c>
      <c r="J165" s="10">
        <v>8</v>
      </c>
      <c r="K165" s="9">
        <f t="shared" si="21"/>
        <v>1655.8896000000002</v>
      </c>
      <c r="L165" s="8" t="s">
        <v>72</v>
      </c>
      <c r="M165" s="31">
        <f t="shared" si="22"/>
        <v>1799.88</v>
      </c>
      <c r="N165" s="33">
        <f t="shared" si="23"/>
        <v>1649.89</v>
      </c>
      <c r="O165" s="31" t="str">
        <f t="shared" si="24"/>
        <v>August</v>
      </c>
      <c r="P165" s="33">
        <f t="shared" si="25"/>
        <v>-1505.8996000000002</v>
      </c>
      <c r="Q165" s="33">
        <f t="shared" si="26"/>
        <v>0.99637681159420288</v>
      </c>
      <c r="R165" s="33">
        <f t="shared" si="27"/>
        <v>137.99080000000001</v>
      </c>
      <c r="S165" s="33" t="str">
        <f t="shared" si="28"/>
        <v>Large</v>
      </c>
      <c r="T165" s="33" t="str">
        <f t="shared" si="29"/>
        <v>High</v>
      </c>
    </row>
    <row r="166" spans="1:20" x14ac:dyDescent="0.3">
      <c r="A166" s="11" t="s">
        <v>329</v>
      </c>
      <c r="B166" s="11" t="s">
        <v>330</v>
      </c>
      <c r="C166" s="11" t="s">
        <v>28</v>
      </c>
      <c r="D166" s="11" t="s">
        <v>22</v>
      </c>
      <c r="E166" s="11" t="s">
        <v>147</v>
      </c>
      <c r="F166" s="11" t="s">
        <v>24</v>
      </c>
      <c r="G166" s="11">
        <v>9</v>
      </c>
      <c r="H166" s="12">
        <v>79.989999999999995</v>
      </c>
      <c r="I166" s="12">
        <f t="shared" si="20"/>
        <v>719.91</v>
      </c>
      <c r="J166" s="13">
        <v>5</v>
      </c>
      <c r="K166" s="12">
        <f t="shared" si="21"/>
        <v>683.91449999999998</v>
      </c>
      <c r="L166" s="11" t="s">
        <v>72</v>
      </c>
      <c r="M166" s="31">
        <f t="shared" si="22"/>
        <v>719.91</v>
      </c>
      <c r="N166" s="33">
        <f t="shared" si="23"/>
        <v>639.91999999999996</v>
      </c>
      <c r="O166" s="31" t="str">
        <f t="shared" si="24"/>
        <v>August</v>
      </c>
      <c r="P166" s="33">
        <f t="shared" si="25"/>
        <v>-603.92449999999997</v>
      </c>
      <c r="Q166" s="33">
        <f t="shared" si="26"/>
        <v>0.93567251461988299</v>
      </c>
      <c r="R166" s="33">
        <f t="shared" si="27"/>
        <v>75.990499999999997</v>
      </c>
      <c r="S166" s="33" t="str">
        <f t="shared" si="28"/>
        <v>Small</v>
      </c>
      <c r="T166" s="33" t="str">
        <f t="shared" si="29"/>
        <v>High</v>
      </c>
    </row>
    <row r="167" spans="1:20" x14ac:dyDescent="0.3">
      <c r="A167" s="5" t="s">
        <v>331</v>
      </c>
      <c r="B167" s="5" t="s">
        <v>330</v>
      </c>
      <c r="C167" s="5" t="s">
        <v>28</v>
      </c>
      <c r="D167" s="5" t="s">
        <v>22</v>
      </c>
      <c r="E167" s="5" t="s">
        <v>64</v>
      </c>
      <c r="F167" s="5" t="s">
        <v>24</v>
      </c>
      <c r="G167" s="5">
        <v>10</v>
      </c>
      <c r="H167" s="6">
        <v>1299</v>
      </c>
      <c r="I167" s="6">
        <f t="shared" si="20"/>
        <v>12990</v>
      </c>
      <c r="J167" s="7">
        <v>5</v>
      </c>
      <c r="K167" s="6">
        <f t="shared" si="21"/>
        <v>12340.5</v>
      </c>
      <c r="L167" s="5" t="s">
        <v>18</v>
      </c>
      <c r="M167" s="31">
        <f t="shared" si="22"/>
        <v>12990</v>
      </c>
      <c r="N167" s="33">
        <f t="shared" si="23"/>
        <v>11691</v>
      </c>
      <c r="O167" s="31" t="str">
        <f t="shared" si="24"/>
        <v>August</v>
      </c>
      <c r="P167" s="33">
        <f t="shared" si="25"/>
        <v>-11041.5</v>
      </c>
      <c r="Q167" s="33">
        <f t="shared" si="26"/>
        <v>0.94736842105263153</v>
      </c>
      <c r="R167" s="33">
        <f t="shared" si="27"/>
        <v>1234.05</v>
      </c>
      <c r="S167" s="33" t="str">
        <f t="shared" si="28"/>
        <v>Large</v>
      </c>
      <c r="T167" s="33" t="str">
        <f t="shared" si="29"/>
        <v>Low</v>
      </c>
    </row>
    <row r="168" spans="1:20" x14ac:dyDescent="0.3">
      <c r="A168" s="17" t="s">
        <v>332</v>
      </c>
      <c r="B168" s="17" t="s">
        <v>330</v>
      </c>
      <c r="C168" s="17" t="s">
        <v>55</v>
      </c>
      <c r="D168" s="17" t="s">
        <v>38</v>
      </c>
      <c r="E168" s="17" t="s">
        <v>23</v>
      </c>
      <c r="F168" s="17" t="s">
        <v>24</v>
      </c>
      <c r="G168" s="17">
        <v>21</v>
      </c>
      <c r="H168" s="18">
        <v>999</v>
      </c>
      <c r="I168" s="18">
        <f t="shared" si="20"/>
        <v>20979</v>
      </c>
      <c r="J168" s="19">
        <v>5</v>
      </c>
      <c r="K168" s="18">
        <f t="shared" si="21"/>
        <v>19930.05</v>
      </c>
      <c r="L168" s="17" t="s">
        <v>132</v>
      </c>
      <c r="M168" s="31">
        <f t="shared" si="22"/>
        <v>20979</v>
      </c>
      <c r="N168" s="33">
        <f t="shared" si="23"/>
        <v>19980</v>
      </c>
      <c r="O168" s="31" t="str">
        <f t="shared" si="24"/>
        <v>August</v>
      </c>
      <c r="P168" s="33">
        <f t="shared" si="25"/>
        <v>-18931.05</v>
      </c>
      <c r="Q168" s="33">
        <f t="shared" si="26"/>
        <v>1.0025062656641603</v>
      </c>
      <c r="R168" s="33">
        <f t="shared" si="27"/>
        <v>949.05</v>
      </c>
      <c r="S168" s="33" t="str">
        <f t="shared" si="28"/>
        <v>Large</v>
      </c>
      <c r="T168" s="33" t="str">
        <f t="shared" si="29"/>
        <v>High</v>
      </c>
    </row>
    <row r="169" spans="1:20" x14ac:dyDescent="0.3">
      <c r="A169" s="5" t="s">
        <v>333</v>
      </c>
      <c r="B169" s="5" t="s">
        <v>334</v>
      </c>
      <c r="C169" s="5" t="s">
        <v>32</v>
      </c>
      <c r="D169" s="5" t="s">
        <v>33</v>
      </c>
      <c r="E169" s="5" t="s">
        <v>46</v>
      </c>
      <c r="F169" s="5" t="s">
        <v>30</v>
      </c>
      <c r="G169" s="5">
        <v>10</v>
      </c>
      <c r="H169" s="6">
        <v>59.99</v>
      </c>
      <c r="I169" s="6">
        <f t="shared" si="20"/>
        <v>599.9</v>
      </c>
      <c r="J169" s="7">
        <v>0</v>
      </c>
      <c r="K169" s="6">
        <f t="shared" si="21"/>
        <v>599.9</v>
      </c>
      <c r="L169" s="5" t="s">
        <v>18</v>
      </c>
      <c r="M169" s="31">
        <f t="shared" si="22"/>
        <v>599.9</v>
      </c>
      <c r="N169" s="33">
        <f t="shared" si="23"/>
        <v>539.91</v>
      </c>
      <c r="O169" s="31" t="str">
        <f t="shared" si="24"/>
        <v>August</v>
      </c>
      <c r="P169" s="33">
        <f t="shared" si="25"/>
        <v>-539.91</v>
      </c>
      <c r="Q169" s="33">
        <f t="shared" si="26"/>
        <v>0.9</v>
      </c>
      <c r="R169" s="33">
        <f t="shared" si="27"/>
        <v>59.989999999999995</v>
      </c>
      <c r="S169" s="33" t="str">
        <f t="shared" si="28"/>
        <v>Large</v>
      </c>
      <c r="T169" s="33" t="str">
        <f t="shared" si="29"/>
        <v>High</v>
      </c>
    </row>
    <row r="170" spans="1:20" x14ac:dyDescent="0.3">
      <c r="A170" s="2" t="s">
        <v>335</v>
      </c>
      <c r="B170" s="2" t="s">
        <v>336</v>
      </c>
      <c r="C170" s="2" t="s">
        <v>41</v>
      </c>
      <c r="D170" s="2" t="s">
        <v>15</v>
      </c>
      <c r="E170" s="2" t="s">
        <v>46</v>
      </c>
      <c r="F170" s="2" t="s">
        <v>30</v>
      </c>
      <c r="G170" s="2">
        <v>6</v>
      </c>
      <c r="H170" s="3">
        <v>59.99</v>
      </c>
      <c r="I170" s="3">
        <f t="shared" si="20"/>
        <v>359.94</v>
      </c>
      <c r="J170" s="4">
        <v>12</v>
      </c>
      <c r="K170" s="3">
        <f t="shared" si="21"/>
        <v>316.74720000000002</v>
      </c>
      <c r="L170" s="2" t="s">
        <v>18</v>
      </c>
      <c r="M170" s="31">
        <f t="shared" si="22"/>
        <v>359.94</v>
      </c>
      <c r="N170" s="33">
        <f t="shared" si="23"/>
        <v>299.95</v>
      </c>
      <c r="O170" s="31" t="str">
        <f t="shared" si="24"/>
        <v>August</v>
      </c>
      <c r="P170" s="33">
        <f t="shared" si="25"/>
        <v>-256.75720000000001</v>
      </c>
      <c r="Q170" s="33">
        <f t="shared" si="26"/>
        <v>0.94696969696969691</v>
      </c>
      <c r="R170" s="33">
        <f t="shared" si="27"/>
        <v>52.791200000000003</v>
      </c>
      <c r="S170" s="33" t="str">
        <f t="shared" si="28"/>
        <v>Small</v>
      </c>
      <c r="T170" s="33" t="str">
        <f t="shared" si="29"/>
        <v>Low</v>
      </c>
    </row>
    <row r="171" spans="1:20" x14ac:dyDescent="0.3">
      <c r="A171" s="5" t="s">
        <v>337</v>
      </c>
      <c r="B171" s="5" t="s">
        <v>338</v>
      </c>
      <c r="C171" s="5" t="s">
        <v>49</v>
      </c>
      <c r="D171" s="5" t="s">
        <v>38</v>
      </c>
      <c r="E171" s="5" t="s">
        <v>106</v>
      </c>
      <c r="F171" s="5" t="s">
        <v>17</v>
      </c>
      <c r="G171" s="5">
        <v>4</v>
      </c>
      <c r="H171" s="6">
        <v>199</v>
      </c>
      <c r="I171" s="6">
        <f t="shared" si="20"/>
        <v>796</v>
      </c>
      <c r="J171" s="7">
        <v>0</v>
      </c>
      <c r="K171" s="6">
        <f t="shared" si="21"/>
        <v>796</v>
      </c>
      <c r="L171" s="5" t="s">
        <v>18</v>
      </c>
      <c r="M171" s="31">
        <f t="shared" si="22"/>
        <v>796</v>
      </c>
      <c r="N171" s="33">
        <f t="shared" si="23"/>
        <v>597</v>
      </c>
      <c r="O171" s="31" t="str">
        <f t="shared" si="24"/>
        <v>August</v>
      </c>
      <c r="P171" s="33">
        <f t="shared" si="25"/>
        <v>-597</v>
      </c>
      <c r="Q171" s="33">
        <f t="shared" si="26"/>
        <v>0.75</v>
      </c>
      <c r="R171" s="33">
        <f t="shared" si="27"/>
        <v>199</v>
      </c>
      <c r="S171" s="33" t="str">
        <f t="shared" si="28"/>
        <v>Small</v>
      </c>
      <c r="T171" s="33" t="str">
        <f t="shared" si="29"/>
        <v>Low</v>
      </c>
    </row>
    <row r="172" spans="1:20" x14ac:dyDescent="0.3">
      <c r="A172" s="2" t="s">
        <v>339</v>
      </c>
      <c r="B172" s="2" t="s">
        <v>340</v>
      </c>
      <c r="C172" s="2" t="s">
        <v>28</v>
      </c>
      <c r="D172" s="2" t="s">
        <v>22</v>
      </c>
      <c r="E172" s="2" t="s">
        <v>29</v>
      </c>
      <c r="F172" s="2" t="s">
        <v>30</v>
      </c>
      <c r="G172" s="2">
        <v>9</v>
      </c>
      <c r="H172" s="3">
        <v>29.99</v>
      </c>
      <c r="I172" s="3">
        <f t="shared" si="20"/>
        <v>269.90999999999997</v>
      </c>
      <c r="J172" s="4">
        <v>12</v>
      </c>
      <c r="K172" s="3">
        <f t="shared" si="21"/>
        <v>237.52079999999998</v>
      </c>
      <c r="L172" s="2" t="s">
        <v>18</v>
      </c>
      <c r="M172" s="31">
        <f t="shared" si="22"/>
        <v>269.90999999999997</v>
      </c>
      <c r="N172" s="33">
        <f t="shared" si="23"/>
        <v>239.91999999999996</v>
      </c>
      <c r="O172" s="31" t="str">
        <f t="shared" si="24"/>
        <v>August</v>
      </c>
      <c r="P172" s="33">
        <f t="shared" si="25"/>
        <v>-207.53079999999997</v>
      </c>
      <c r="Q172" s="33">
        <f t="shared" si="26"/>
        <v>1.0101010101010099</v>
      </c>
      <c r="R172" s="33">
        <f t="shared" si="27"/>
        <v>26.391199999999998</v>
      </c>
      <c r="S172" s="33" t="str">
        <f t="shared" si="28"/>
        <v>Small</v>
      </c>
      <c r="T172" s="33" t="str">
        <f t="shared" si="29"/>
        <v>Low</v>
      </c>
    </row>
    <row r="173" spans="1:20" x14ac:dyDescent="0.3">
      <c r="A173" s="5" t="s">
        <v>341</v>
      </c>
      <c r="B173" s="5" t="s">
        <v>340</v>
      </c>
      <c r="C173" s="5" t="s">
        <v>14</v>
      </c>
      <c r="D173" s="5" t="s">
        <v>15</v>
      </c>
      <c r="E173" s="5" t="s">
        <v>29</v>
      </c>
      <c r="F173" s="5" t="s">
        <v>30</v>
      </c>
      <c r="G173" s="5">
        <v>13</v>
      </c>
      <c r="H173" s="6">
        <v>29.99</v>
      </c>
      <c r="I173" s="6">
        <f t="shared" si="20"/>
        <v>389.87</v>
      </c>
      <c r="J173" s="7">
        <v>0</v>
      </c>
      <c r="K173" s="6">
        <f t="shared" si="21"/>
        <v>389.87</v>
      </c>
      <c r="L173" s="5" t="s">
        <v>18</v>
      </c>
      <c r="M173" s="31">
        <f t="shared" si="22"/>
        <v>389.87</v>
      </c>
      <c r="N173" s="33">
        <f t="shared" si="23"/>
        <v>359.88</v>
      </c>
      <c r="O173" s="31" t="str">
        <f t="shared" si="24"/>
        <v>August</v>
      </c>
      <c r="P173" s="33">
        <f t="shared" si="25"/>
        <v>-359.88</v>
      </c>
      <c r="Q173" s="33">
        <f t="shared" si="26"/>
        <v>0.92307692307692302</v>
      </c>
      <c r="R173" s="33">
        <f t="shared" si="27"/>
        <v>29.990000000000002</v>
      </c>
      <c r="S173" s="33" t="str">
        <f t="shared" si="28"/>
        <v>Large</v>
      </c>
      <c r="T173" s="33" t="str">
        <f t="shared" si="29"/>
        <v>Low</v>
      </c>
    </row>
    <row r="174" spans="1:20" x14ac:dyDescent="0.3">
      <c r="A174" s="2" t="s">
        <v>342</v>
      </c>
      <c r="B174" s="2" t="s">
        <v>340</v>
      </c>
      <c r="C174" s="2" t="s">
        <v>80</v>
      </c>
      <c r="D174" s="2" t="s">
        <v>22</v>
      </c>
      <c r="E174" s="2" t="s">
        <v>144</v>
      </c>
      <c r="F174" s="2" t="s">
        <v>30</v>
      </c>
      <c r="G174" s="2">
        <v>10</v>
      </c>
      <c r="H174" s="3">
        <v>79.989999999999995</v>
      </c>
      <c r="I174" s="3">
        <f t="shared" si="20"/>
        <v>799.9</v>
      </c>
      <c r="J174" s="4">
        <v>0</v>
      </c>
      <c r="K174" s="3">
        <f t="shared" si="21"/>
        <v>799.9</v>
      </c>
      <c r="L174" s="2" t="s">
        <v>18</v>
      </c>
      <c r="M174" s="31">
        <f t="shared" si="22"/>
        <v>799.9</v>
      </c>
      <c r="N174" s="33">
        <f t="shared" si="23"/>
        <v>719.91</v>
      </c>
      <c r="O174" s="31" t="str">
        <f t="shared" si="24"/>
        <v>August</v>
      </c>
      <c r="P174" s="33">
        <f t="shared" si="25"/>
        <v>-719.91</v>
      </c>
      <c r="Q174" s="33">
        <f t="shared" si="26"/>
        <v>0.9</v>
      </c>
      <c r="R174" s="33">
        <f t="shared" si="27"/>
        <v>79.989999999999995</v>
      </c>
      <c r="S174" s="33" t="str">
        <f t="shared" si="28"/>
        <v>Large</v>
      </c>
      <c r="T174" s="33" t="str">
        <f t="shared" si="29"/>
        <v>Low</v>
      </c>
    </row>
    <row r="175" spans="1:20" x14ac:dyDescent="0.3">
      <c r="A175" s="5" t="s">
        <v>343</v>
      </c>
      <c r="B175" s="5" t="s">
        <v>340</v>
      </c>
      <c r="C175" s="5" t="s">
        <v>41</v>
      </c>
      <c r="D175" s="5" t="s">
        <v>15</v>
      </c>
      <c r="E175" s="5" t="s">
        <v>82</v>
      </c>
      <c r="F175" s="5" t="s">
        <v>61</v>
      </c>
      <c r="G175" s="5">
        <v>9</v>
      </c>
      <c r="H175" s="6">
        <v>59.99</v>
      </c>
      <c r="I175" s="6">
        <f t="shared" si="20"/>
        <v>539.91</v>
      </c>
      <c r="J175" s="7">
        <v>12</v>
      </c>
      <c r="K175" s="6">
        <f t="shared" si="21"/>
        <v>475.12079999999997</v>
      </c>
      <c r="L175" s="5" t="s">
        <v>18</v>
      </c>
      <c r="M175" s="31">
        <f t="shared" si="22"/>
        <v>539.91</v>
      </c>
      <c r="N175" s="33">
        <f t="shared" si="23"/>
        <v>479.91999999999996</v>
      </c>
      <c r="O175" s="31" t="str">
        <f t="shared" si="24"/>
        <v>August</v>
      </c>
      <c r="P175" s="33">
        <f t="shared" si="25"/>
        <v>-415.13079999999997</v>
      </c>
      <c r="Q175" s="33">
        <f t="shared" si="26"/>
        <v>1.0101010101010102</v>
      </c>
      <c r="R175" s="33">
        <f t="shared" si="27"/>
        <v>52.791199999999996</v>
      </c>
      <c r="S175" s="33" t="str">
        <f t="shared" si="28"/>
        <v>Small</v>
      </c>
      <c r="T175" s="33" t="str">
        <f t="shared" si="29"/>
        <v>Low</v>
      </c>
    </row>
    <row r="176" spans="1:20" x14ac:dyDescent="0.3">
      <c r="A176" s="2" t="s">
        <v>344</v>
      </c>
      <c r="B176" s="2" t="s">
        <v>345</v>
      </c>
      <c r="C176" s="2" t="s">
        <v>21</v>
      </c>
      <c r="D176" s="2" t="s">
        <v>22</v>
      </c>
      <c r="E176" s="2" t="s">
        <v>93</v>
      </c>
      <c r="F176" s="2" t="s">
        <v>24</v>
      </c>
      <c r="G176" s="2">
        <v>26</v>
      </c>
      <c r="H176" s="3">
        <v>599</v>
      </c>
      <c r="I176" s="3">
        <f t="shared" si="20"/>
        <v>15574</v>
      </c>
      <c r="J176" s="4">
        <v>0</v>
      </c>
      <c r="K176" s="3">
        <f t="shared" si="21"/>
        <v>15574</v>
      </c>
      <c r="L176" s="2" t="s">
        <v>18</v>
      </c>
      <c r="M176" s="31">
        <f t="shared" si="22"/>
        <v>15574</v>
      </c>
      <c r="N176" s="33">
        <f t="shared" si="23"/>
        <v>14975</v>
      </c>
      <c r="O176" s="31" t="str">
        <f t="shared" si="24"/>
        <v>August</v>
      </c>
      <c r="P176" s="33">
        <f t="shared" si="25"/>
        <v>-14975</v>
      </c>
      <c r="Q176" s="33">
        <f t="shared" si="26"/>
        <v>0.96153846153846156</v>
      </c>
      <c r="R176" s="33">
        <f t="shared" si="27"/>
        <v>599</v>
      </c>
      <c r="S176" s="33" t="str">
        <f t="shared" si="28"/>
        <v>Large</v>
      </c>
      <c r="T176" s="33" t="str">
        <f t="shared" si="29"/>
        <v>Low</v>
      </c>
    </row>
    <row r="177" spans="1:20" x14ac:dyDescent="0.3">
      <c r="A177" s="5" t="s">
        <v>346</v>
      </c>
      <c r="B177" s="5" t="s">
        <v>345</v>
      </c>
      <c r="C177" s="5" t="s">
        <v>80</v>
      </c>
      <c r="D177" s="5" t="s">
        <v>22</v>
      </c>
      <c r="E177" s="5" t="s">
        <v>43</v>
      </c>
      <c r="F177" s="5" t="s">
        <v>24</v>
      </c>
      <c r="G177" s="5">
        <v>1</v>
      </c>
      <c r="H177" s="6">
        <v>399</v>
      </c>
      <c r="I177" s="6">
        <f t="shared" si="20"/>
        <v>399</v>
      </c>
      <c r="J177" s="7">
        <v>5</v>
      </c>
      <c r="K177" s="6">
        <f t="shared" si="21"/>
        <v>379.04999999999995</v>
      </c>
      <c r="L177" s="5" t="s">
        <v>18</v>
      </c>
      <c r="M177" s="31">
        <f t="shared" si="22"/>
        <v>399</v>
      </c>
      <c r="N177" s="33">
        <f t="shared" si="23"/>
        <v>0</v>
      </c>
      <c r="O177" s="31" t="str">
        <f t="shared" si="24"/>
        <v>August</v>
      </c>
      <c r="P177" s="33">
        <f t="shared" si="25"/>
        <v>19.950000000000045</v>
      </c>
      <c r="Q177" s="33">
        <f t="shared" si="26"/>
        <v>0</v>
      </c>
      <c r="R177" s="33">
        <f t="shared" si="27"/>
        <v>379.04999999999995</v>
      </c>
      <c r="S177" s="33" t="str">
        <f t="shared" si="28"/>
        <v>Small</v>
      </c>
      <c r="T177" s="33" t="str">
        <f t="shared" si="29"/>
        <v>High</v>
      </c>
    </row>
    <row r="178" spans="1:20" x14ac:dyDescent="0.3">
      <c r="A178" s="2" t="s">
        <v>347</v>
      </c>
      <c r="B178" s="2" t="s">
        <v>348</v>
      </c>
      <c r="C178" s="2" t="s">
        <v>21</v>
      </c>
      <c r="D178" s="2" t="s">
        <v>22</v>
      </c>
      <c r="E178" s="2" t="s">
        <v>99</v>
      </c>
      <c r="F178" s="2" t="s">
        <v>30</v>
      </c>
      <c r="G178" s="2">
        <v>2</v>
      </c>
      <c r="H178" s="3">
        <v>89.99</v>
      </c>
      <c r="I178" s="3">
        <f t="shared" si="20"/>
        <v>179.98</v>
      </c>
      <c r="J178" s="4">
        <v>8</v>
      </c>
      <c r="K178" s="3">
        <f t="shared" si="21"/>
        <v>165.58160000000001</v>
      </c>
      <c r="L178" s="2" t="s">
        <v>18</v>
      </c>
      <c r="M178" s="31">
        <f t="shared" si="22"/>
        <v>179.98</v>
      </c>
      <c r="N178" s="33">
        <f t="shared" si="23"/>
        <v>89.99</v>
      </c>
      <c r="O178" s="31" t="str">
        <f t="shared" si="24"/>
        <v>August</v>
      </c>
      <c r="P178" s="33">
        <f t="shared" si="25"/>
        <v>-75.591600000000014</v>
      </c>
      <c r="Q178" s="33">
        <f t="shared" si="26"/>
        <v>0.54347826086956519</v>
      </c>
      <c r="R178" s="33">
        <f t="shared" si="27"/>
        <v>82.790800000000004</v>
      </c>
      <c r="S178" s="33" t="str">
        <f t="shared" si="28"/>
        <v>Small</v>
      </c>
      <c r="T178" s="33" t="str">
        <f t="shared" si="29"/>
        <v>Low</v>
      </c>
    </row>
    <row r="179" spans="1:20" x14ac:dyDescent="0.3">
      <c r="A179" s="5" t="s">
        <v>349</v>
      </c>
      <c r="B179" s="5" t="s">
        <v>348</v>
      </c>
      <c r="C179" s="5" t="s">
        <v>49</v>
      </c>
      <c r="D179" s="5" t="s">
        <v>38</v>
      </c>
      <c r="E179" s="5" t="s">
        <v>103</v>
      </c>
      <c r="F179" s="5" t="s">
        <v>61</v>
      </c>
      <c r="G179" s="5">
        <v>22</v>
      </c>
      <c r="H179" s="6">
        <v>99</v>
      </c>
      <c r="I179" s="6">
        <f t="shared" si="20"/>
        <v>2178</v>
      </c>
      <c r="J179" s="7">
        <v>15</v>
      </c>
      <c r="K179" s="6">
        <f t="shared" si="21"/>
        <v>1851.3</v>
      </c>
      <c r="L179" s="5" t="s">
        <v>18</v>
      </c>
      <c r="M179" s="31">
        <f t="shared" si="22"/>
        <v>2178</v>
      </c>
      <c r="N179" s="33">
        <f t="shared" si="23"/>
        <v>2079</v>
      </c>
      <c r="O179" s="31" t="str">
        <f t="shared" si="24"/>
        <v>August</v>
      </c>
      <c r="P179" s="33">
        <f t="shared" si="25"/>
        <v>-1752.3</v>
      </c>
      <c r="Q179" s="33">
        <f t="shared" si="26"/>
        <v>1.1229946524064172</v>
      </c>
      <c r="R179" s="33">
        <f t="shared" si="27"/>
        <v>84.149999999999991</v>
      </c>
      <c r="S179" s="33" t="str">
        <f t="shared" si="28"/>
        <v>Large</v>
      </c>
      <c r="T179" s="33" t="str">
        <f t="shared" si="29"/>
        <v>Low</v>
      </c>
    </row>
    <row r="180" spans="1:20" x14ac:dyDescent="0.3">
      <c r="A180" s="2" t="s">
        <v>350</v>
      </c>
      <c r="B180" s="2" t="s">
        <v>351</v>
      </c>
      <c r="C180" s="2" t="s">
        <v>21</v>
      </c>
      <c r="D180" s="2" t="s">
        <v>22</v>
      </c>
      <c r="E180" s="2" t="s">
        <v>23</v>
      </c>
      <c r="F180" s="2" t="s">
        <v>24</v>
      </c>
      <c r="G180" s="2">
        <v>1</v>
      </c>
      <c r="H180" s="3">
        <v>999</v>
      </c>
      <c r="I180" s="3">
        <f t="shared" si="20"/>
        <v>999</v>
      </c>
      <c r="J180" s="4">
        <v>0</v>
      </c>
      <c r="K180" s="3">
        <f t="shared" si="21"/>
        <v>999</v>
      </c>
      <c r="L180" s="2" t="s">
        <v>18</v>
      </c>
      <c r="M180" s="31">
        <f t="shared" si="22"/>
        <v>999</v>
      </c>
      <c r="N180" s="33">
        <f t="shared" si="23"/>
        <v>0</v>
      </c>
      <c r="O180" s="31" t="str">
        <f t="shared" si="24"/>
        <v>August</v>
      </c>
      <c r="P180" s="33">
        <f t="shared" si="25"/>
        <v>0</v>
      </c>
      <c r="Q180" s="33">
        <f t="shared" si="26"/>
        <v>0</v>
      </c>
      <c r="R180" s="33">
        <f t="shared" si="27"/>
        <v>999</v>
      </c>
      <c r="S180" s="33" t="str">
        <f t="shared" si="28"/>
        <v>Small</v>
      </c>
      <c r="T180" s="33" t="str">
        <f t="shared" si="29"/>
        <v>High</v>
      </c>
    </row>
    <row r="181" spans="1:20" x14ac:dyDescent="0.3">
      <c r="A181" s="8" t="s">
        <v>352</v>
      </c>
      <c r="B181" s="8" t="s">
        <v>353</v>
      </c>
      <c r="C181" s="8" t="s">
        <v>32</v>
      </c>
      <c r="D181" s="8" t="s">
        <v>33</v>
      </c>
      <c r="E181" s="8" t="s">
        <v>141</v>
      </c>
      <c r="F181" s="8" t="s">
        <v>17</v>
      </c>
      <c r="G181" s="8">
        <v>26</v>
      </c>
      <c r="H181" s="9">
        <v>169</v>
      </c>
      <c r="I181" s="9">
        <f t="shared" si="20"/>
        <v>4394</v>
      </c>
      <c r="J181" s="10">
        <v>8</v>
      </c>
      <c r="K181" s="9">
        <f t="shared" si="21"/>
        <v>4042.48</v>
      </c>
      <c r="L181" s="8" t="s">
        <v>72</v>
      </c>
      <c r="M181" s="31">
        <f t="shared" si="22"/>
        <v>4394</v>
      </c>
      <c r="N181" s="33">
        <f t="shared" si="23"/>
        <v>4225</v>
      </c>
      <c r="O181" s="31" t="str">
        <f t="shared" si="24"/>
        <v>August</v>
      </c>
      <c r="P181" s="33">
        <f t="shared" si="25"/>
        <v>-3873.48</v>
      </c>
      <c r="Q181" s="33">
        <f t="shared" si="26"/>
        <v>1.0451505016722409</v>
      </c>
      <c r="R181" s="33">
        <f t="shared" si="27"/>
        <v>155.47999999999999</v>
      </c>
      <c r="S181" s="33" t="str">
        <f t="shared" si="28"/>
        <v>Large</v>
      </c>
      <c r="T181" s="33" t="str">
        <f t="shared" si="29"/>
        <v>Low</v>
      </c>
    </row>
    <row r="182" spans="1:20" x14ac:dyDescent="0.3">
      <c r="A182" s="2" t="s">
        <v>354</v>
      </c>
      <c r="B182" s="2" t="s">
        <v>355</v>
      </c>
      <c r="C182" s="2" t="s">
        <v>37</v>
      </c>
      <c r="D182" s="2" t="s">
        <v>38</v>
      </c>
      <c r="E182" s="2" t="s">
        <v>147</v>
      </c>
      <c r="F182" s="2" t="s">
        <v>24</v>
      </c>
      <c r="G182" s="2">
        <v>22</v>
      </c>
      <c r="H182" s="3">
        <v>79.989999999999995</v>
      </c>
      <c r="I182" s="3">
        <f t="shared" si="20"/>
        <v>1759.78</v>
      </c>
      <c r="J182" s="4">
        <v>15</v>
      </c>
      <c r="K182" s="3">
        <f t="shared" si="21"/>
        <v>1495.8129999999999</v>
      </c>
      <c r="L182" s="2" t="s">
        <v>18</v>
      </c>
      <c r="M182" s="31">
        <f t="shared" si="22"/>
        <v>1759.78</v>
      </c>
      <c r="N182" s="33">
        <f t="shared" si="23"/>
        <v>1679.79</v>
      </c>
      <c r="O182" s="31" t="str">
        <f t="shared" si="24"/>
        <v>August</v>
      </c>
      <c r="P182" s="33">
        <f t="shared" si="25"/>
        <v>-1415.8229999999999</v>
      </c>
      <c r="Q182" s="33">
        <f t="shared" si="26"/>
        <v>1.1229946524064172</v>
      </c>
      <c r="R182" s="33">
        <f t="shared" si="27"/>
        <v>67.991499999999988</v>
      </c>
      <c r="S182" s="33" t="str">
        <f t="shared" si="28"/>
        <v>Large</v>
      </c>
      <c r="T182" s="33" t="str">
        <f t="shared" si="29"/>
        <v>High</v>
      </c>
    </row>
    <row r="183" spans="1:20" x14ac:dyDescent="0.3">
      <c r="A183" s="8" t="s">
        <v>356</v>
      </c>
      <c r="B183" s="8" t="s">
        <v>355</v>
      </c>
      <c r="C183" s="8" t="s">
        <v>52</v>
      </c>
      <c r="D183" s="8" t="s">
        <v>33</v>
      </c>
      <c r="E183" s="8" t="s">
        <v>46</v>
      </c>
      <c r="F183" s="8" t="s">
        <v>30</v>
      </c>
      <c r="G183" s="8">
        <v>14</v>
      </c>
      <c r="H183" s="9">
        <v>59.99</v>
      </c>
      <c r="I183" s="9">
        <f t="shared" si="20"/>
        <v>839.86</v>
      </c>
      <c r="J183" s="10">
        <v>0</v>
      </c>
      <c r="K183" s="9">
        <f t="shared" si="21"/>
        <v>839.86</v>
      </c>
      <c r="L183" s="8" t="s">
        <v>72</v>
      </c>
      <c r="M183" s="31">
        <f t="shared" si="22"/>
        <v>839.86</v>
      </c>
      <c r="N183" s="33">
        <f t="shared" si="23"/>
        <v>779.87</v>
      </c>
      <c r="O183" s="31" t="str">
        <f t="shared" si="24"/>
        <v>August</v>
      </c>
      <c r="P183" s="33">
        <f t="shared" si="25"/>
        <v>-779.87</v>
      </c>
      <c r="Q183" s="33">
        <f t="shared" si="26"/>
        <v>0.9285714285714286</v>
      </c>
      <c r="R183" s="33">
        <f t="shared" si="27"/>
        <v>59.99</v>
      </c>
      <c r="S183" s="33" t="str">
        <f t="shared" si="28"/>
        <v>Large</v>
      </c>
      <c r="T183" s="33" t="str">
        <f t="shared" si="29"/>
        <v>High</v>
      </c>
    </row>
    <row r="184" spans="1:20" x14ac:dyDescent="0.3">
      <c r="A184" s="2" t="s">
        <v>357</v>
      </c>
      <c r="B184" s="2" t="s">
        <v>358</v>
      </c>
      <c r="C184" s="2" t="s">
        <v>28</v>
      </c>
      <c r="D184" s="2" t="s">
        <v>22</v>
      </c>
      <c r="E184" s="2" t="s">
        <v>34</v>
      </c>
      <c r="F184" s="2" t="s">
        <v>30</v>
      </c>
      <c r="G184" s="2">
        <v>17</v>
      </c>
      <c r="H184" s="3">
        <v>19.989999999999998</v>
      </c>
      <c r="I184" s="3">
        <f t="shared" si="20"/>
        <v>339.83</v>
      </c>
      <c r="J184" s="4">
        <v>0</v>
      </c>
      <c r="K184" s="3">
        <f t="shared" si="21"/>
        <v>339.83</v>
      </c>
      <c r="L184" s="2" t="s">
        <v>18</v>
      </c>
      <c r="M184" s="31">
        <f t="shared" si="22"/>
        <v>339.83</v>
      </c>
      <c r="N184" s="33">
        <f t="shared" si="23"/>
        <v>319.83999999999997</v>
      </c>
      <c r="O184" s="31" t="str">
        <f t="shared" si="24"/>
        <v>August</v>
      </c>
      <c r="P184" s="33">
        <f t="shared" si="25"/>
        <v>-319.83999999999997</v>
      </c>
      <c r="Q184" s="33">
        <f t="shared" si="26"/>
        <v>0.94117647058823528</v>
      </c>
      <c r="R184" s="33">
        <f t="shared" si="27"/>
        <v>19.989999999999998</v>
      </c>
      <c r="S184" s="33" t="str">
        <f t="shared" si="28"/>
        <v>Large</v>
      </c>
      <c r="T184" s="33" t="str">
        <f t="shared" si="29"/>
        <v>Low</v>
      </c>
    </row>
    <row r="185" spans="1:20" x14ac:dyDescent="0.3">
      <c r="A185" s="5" t="s">
        <v>359</v>
      </c>
      <c r="B185" s="5" t="s">
        <v>360</v>
      </c>
      <c r="C185" s="5" t="s">
        <v>80</v>
      </c>
      <c r="D185" s="5" t="s">
        <v>22</v>
      </c>
      <c r="E185" s="5" t="s">
        <v>16</v>
      </c>
      <c r="F185" s="5" t="s">
        <v>17</v>
      </c>
      <c r="G185" s="5">
        <v>14</v>
      </c>
      <c r="H185" s="6">
        <v>129</v>
      </c>
      <c r="I185" s="6">
        <f t="shared" si="20"/>
        <v>1806</v>
      </c>
      <c r="J185" s="7">
        <v>0</v>
      </c>
      <c r="K185" s="6">
        <f t="shared" si="21"/>
        <v>1806</v>
      </c>
      <c r="L185" s="5" t="s">
        <v>18</v>
      </c>
      <c r="M185" s="31">
        <f t="shared" si="22"/>
        <v>1806</v>
      </c>
      <c r="N185" s="33">
        <f t="shared" si="23"/>
        <v>1677</v>
      </c>
      <c r="O185" s="31" t="str">
        <f t="shared" si="24"/>
        <v>August</v>
      </c>
      <c r="P185" s="33">
        <f t="shared" si="25"/>
        <v>-1677</v>
      </c>
      <c r="Q185" s="33">
        <f t="shared" si="26"/>
        <v>0.9285714285714286</v>
      </c>
      <c r="R185" s="33">
        <f t="shared" si="27"/>
        <v>129</v>
      </c>
      <c r="S185" s="33" t="str">
        <f t="shared" si="28"/>
        <v>Large</v>
      </c>
      <c r="T185" s="33" t="str">
        <f t="shared" si="29"/>
        <v>Low</v>
      </c>
    </row>
    <row r="186" spans="1:20" x14ac:dyDescent="0.3">
      <c r="A186" s="2" t="s">
        <v>361</v>
      </c>
      <c r="B186" s="2" t="s">
        <v>362</v>
      </c>
      <c r="C186" s="2" t="s">
        <v>28</v>
      </c>
      <c r="D186" s="2" t="s">
        <v>22</v>
      </c>
      <c r="E186" s="2" t="s">
        <v>144</v>
      </c>
      <c r="F186" s="2" t="s">
        <v>30</v>
      </c>
      <c r="G186" s="2">
        <v>4</v>
      </c>
      <c r="H186" s="3">
        <v>79.989999999999995</v>
      </c>
      <c r="I186" s="3">
        <f t="shared" si="20"/>
        <v>319.95999999999998</v>
      </c>
      <c r="J186" s="4">
        <v>5</v>
      </c>
      <c r="K186" s="3">
        <f t="shared" si="21"/>
        <v>303.96199999999999</v>
      </c>
      <c r="L186" s="2" t="s">
        <v>18</v>
      </c>
      <c r="M186" s="31">
        <f t="shared" si="22"/>
        <v>319.95999999999998</v>
      </c>
      <c r="N186" s="33">
        <f t="shared" si="23"/>
        <v>239.96999999999997</v>
      </c>
      <c r="O186" s="31" t="str">
        <f t="shared" si="24"/>
        <v>August</v>
      </c>
      <c r="P186" s="33">
        <f t="shared" si="25"/>
        <v>-223.97199999999998</v>
      </c>
      <c r="Q186" s="33">
        <f t="shared" si="26"/>
        <v>0.78947368421052622</v>
      </c>
      <c r="R186" s="33">
        <f t="shared" si="27"/>
        <v>75.990499999999997</v>
      </c>
      <c r="S186" s="33" t="str">
        <f t="shared" si="28"/>
        <v>Small</v>
      </c>
      <c r="T186" s="33" t="str">
        <f t="shared" si="29"/>
        <v>High</v>
      </c>
    </row>
    <row r="187" spans="1:20" x14ac:dyDescent="0.3">
      <c r="A187" s="5" t="s">
        <v>363</v>
      </c>
      <c r="B187" s="5" t="s">
        <v>364</v>
      </c>
      <c r="C187" s="5" t="s">
        <v>37</v>
      </c>
      <c r="D187" s="5" t="s">
        <v>38</v>
      </c>
      <c r="E187" s="5" t="s">
        <v>82</v>
      </c>
      <c r="F187" s="5" t="s">
        <v>61</v>
      </c>
      <c r="G187" s="5">
        <v>2</v>
      </c>
      <c r="H187" s="6">
        <v>59.99</v>
      </c>
      <c r="I187" s="6">
        <f t="shared" si="20"/>
        <v>119.98</v>
      </c>
      <c r="J187" s="7">
        <v>0</v>
      </c>
      <c r="K187" s="6">
        <f t="shared" si="21"/>
        <v>119.98</v>
      </c>
      <c r="L187" s="5" t="s">
        <v>18</v>
      </c>
      <c r="M187" s="31">
        <f t="shared" si="22"/>
        <v>119.98</v>
      </c>
      <c r="N187" s="33">
        <f t="shared" si="23"/>
        <v>59.99</v>
      </c>
      <c r="O187" s="31" t="str">
        <f t="shared" si="24"/>
        <v>August</v>
      </c>
      <c r="P187" s="33">
        <f t="shared" si="25"/>
        <v>-59.99</v>
      </c>
      <c r="Q187" s="33">
        <f t="shared" si="26"/>
        <v>0.5</v>
      </c>
      <c r="R187" s="33">
        <f t="shared" si="27"/>
        <v>59.99</v>
      </c>
      <c r="S187" s="33" t="str">
        <f t="shared" si="28"/>
        <v>Small</v>
      </c>
      <c r="T187" s="33" t="str">
        <f t="shared" si="29"/>
        <v>Low</v>
      </c>
    </row>
    <row r="188" spans="1:20" x14ac:dyDescent="0.3">
      <c r="A188" s="2" t="s">
        <v>365</v>
      </c>
      <c r="B188" s="2" t="s">
        <v>364</v>
      </c>
      <c r="C188" s="2" t="s">
        <v>52</v>
      </c>
      <c r="D188" s="2" t="s">
        <v>33</v>
      </c>
      <c r="E188" s="2" t="s">
        <v>23</v>
      </c>
      <c r="F188" s="2" t="s">
        <v>24</v>
      </c>
      <c r="G188" s="2">
        <v>4</v>
      </c>
      <c r="H188" s="3">
        <v>999</v>
      </c>
      <c r="I188" s="3">
        <f t="shared" si="20"/>
        <v>3996</v>
      </c>
      <c r="J188" s="4">
        <v>10</v>
      </c>
      <c r="K188" s="3">
        <f t="shared" si="21"/>
        <v>3596.4</v>
      </c>
      <c r="L188" s="2" t="s">
        <v>18</v>
      </c>
      <c r="M188" s="31">
        <f t="shared" si="22"/>
        <v>3996</v>
      </c>
      <c r="N188" s="33">
        <f t="shared" si="23"/>
        <v>2997</v>
      </c>
      <c r="O188" s="31" t="str">
        <f t="shared" si="24"/>
        <v>August</v>
      </c>
      <c r="P188" s="33">
        <f t="shared" si="25"/>
        <v>-2597.4</v>
      </c>
      <c r="Q188" s="33">
        <f t="shared" si="26"/>
        <v>0.83333333333333326</v>
      </c>
      <c r="R188" s="33">
        <f t="shared" si="27"/>
        <v>899.1</v>
      </c>
      <c r="S188" s="33" t="str">
        <f t="shared" si="28"/>
        <v>Small</v>
      </c>
      <c r="T188" s="33" t="str">
        <f t="shared" si="29"/>
        <v>Low</v>
      </c>
    </row>
    <row r="189" spans="1:20" x14ac:dyDescent="0.3">
      <c r="A189" s="5" t="s">
        <v>366</v>
      </c>
      <c r="B189" s="5" t="s">
        <v>367</v>
      </c>
      <c r="C189" s="5" t="s">
        <v>28</v>
      </c>
      <c r="D189" s="5" t="s">
        <v>22</v>
      </c>
      <c r="E189" s="5" t="s">
        <v>71</v>
      </c>
      <c r="F189" s="5" t="s">
        <v>24</v>
      </c>
      <c r="G189" s="5">
        <v>19</v>
      </c>
      <c r="H189" s="6">
        <v>249</v>
      </c>
      <c r="I189" s="6">
        <f t="shared" si="20"/>
        <v>4731</v>
      </c>
      <c r="J189" s="7">
        <v>5</v>
      </c>
      <c r="K189" s="6">
        <f t="shared" si="21"/>
        <v>4494.45</v>
      </c>
      <c r="L189" s="5" t="s">
        <v>18</v>
      </c>
      <c r="M189" s="31">
        <f t="shared" si="22"/>
        <v>4731</v>
      </c>
      <c r="N189" s="33">
        <f t="shared" si="23"/>
        <v>4482</v>
      </c>
      <c r="O189" s="31" t="str">
        <f t="shared" si="24"/>
        <v>August</v>
      </c>
      <c r="P189" s="33">
        <f t="shared" si="25"/>
        <v>-4245.45</v>
      </c>
      <c r="Q189" s="33">
        <f t="shared" si="26"/>
        <v>0.99722991689750695</v>
      </c>
      <c r="R189" s="33">
        <f t="shared" si="27"/>
        <v>236.54999999999998</v>
      </c>
      <c r="S189" s="33" t="str">
        <f t="shared" si="28"/>
        <v>Large</v>
      </c>
      <c r="T189" s="33" t="str">
        <f t="shared" si="29"/>
        <v>High</v>
      </c>
    </row>
    <row r="190" spans="1:20" x14ac:dyDescent="0.3">
      <c r="A190" s="2" t="s">
        <v>368</v>
      </c>
      <c r="B190" s="2" t="s">
        <v>369</v>
      </c>
      <c r="C190" s="2" t="s">
        <v>21</v>
      </c>
      <c r="D190" s="2" t="s">
        <v>22</v>
      </c>
      <c r="E190" s="2" t="s">
        <v>82</v>
      </c>
      <c r="F190" s="2" t="s">
        <v>61</v>
      </c>
      <c r="G190" s="2">
        <v>12</v>
      </c>
      <c r="H190" s="3">
        <v>59.99</v>
      </c>
      <c r="I190" s="3">
        <f t="shared" si="20"/>
        <v>719.88</v>
      </c>
      <c r="J190" s="4">
        <v>0</v>
      </c>
      <c r="K190" s="3">
        <f t="shared" si="21"/>
        <v>719.88</v>
      </c>
      <c r="L190" s="2" t="s">
        <v>18</v>
      </c>
      <c r="M190" s="31">
        <f t="shared" si="22"/>
        <v>719.88</v>
      </c>
      <c r="N190" s="33">
        <f t="shared" si="23"/>
        <v>659.89</v>
      </c>
      <c r="O190" s="31" t="str">
        <f t="shared" si="24"/>
        <v>August</v>
      </c>
      <c r="P190" s="33">
        <f t="shared" si="25"/>
        <v>-659.89</v>
      </c>
      <c r="Q190" s="33">
        <f t="shared" si="26"/>
        <v>0.91666666666666663</v>
      </c>
      <c r="R190" s="33">
        <f t="shared" si="27"/>
        <v>59.99</v>
      </c>
      <c r="S190" s="33" t="str">
        <f t="shared" si="28"/>
        <v>Large</v>
      </c>
      <c r="T190" s="33" t="str">
        <f t="shared" si="29"/>
        <v>High</v>
      </c>
    </row>
    <row r="191" spans="1:20" x14ac:dyDescent="0.3">
      <c r="A191" s="5" t="s">
        <v>370</v>
      </c>
      <c r="B191" s="5" t="s">
        <v>369</v>
      </c>
      <c r="C191" s="5" t="s">
        <v>37</v>
      </c>
      <c r="D191" s="5" t="s">
        <v>38</v>
      </c>
      <c r="E191" s="5" t="s">
        <v>60</v>
      </c>
      <c r="F191" s="5" t="s">
        <v>61</v>
      </c>
      <c r="G191" s="5">
        <v>24</v>
      </c>
      <c r="H191" s="6">
        <v>49.99</v>
      </c>
      <c r="I191" s="6">
        <f t="shared" si="20"/>
        <v>1199.76</v>
      </c>
      <c r="J191" s="7">
        <v>12</v>
      </c>
      <c r="K191" s="6">
        <f t="shared" si="21"/>
        <v>1055.7888</v>
      </c>
      <c r="L191" s="5" t="s">
        <v>18</v>
      </c>
      <c r="M191" s="31">
        <f t="shared" si="22"/>
        <v>1199.76</v>
      </c>
      <c r="N191" s="33">
        <f t="shared" si="23"/>
        <v>1149.77</v>
      </c>
      <c r="O191" s="31" t="str">
        <f t="shared" si="24"/>
        <v>August</v>
      </c>
      <c r="P191" s="33">
        <f t="shared" si="25"/>
        <v>-1005.7988</v>
      </c>
      <c r="Q191" s="33">
        <f t="shared" si="26"/>
        <v>1.0890151515151514</v>
      </c>
      <c r="R191" s="33">
        <f t="shared" si="27"/>
        <v>43.991199999999999</v>
      </c>
      <c r="S191" s="33" t="str">
        <f t="shared" si="28"/>
        <v>Large</v>
      </c>
      <c r="T191" s="33" t="str">
        <f t="shared" si="29"/>
        <v>Low</v>
      </c>
    </row>
    <row r="192" spans="1:20" x14ac:dyDescent="0.3">
      <c r="A192" s="11" t="s">
        <v>371</v>
      </c>
      <c r="B192" s="11" t="s">
        <v>372</v>
      </c>
      <c r="C192" s="11" t="s">
        <v>41</v>
      </c>
      <c r="D192" s="11" t="s">
        <v>15</v>
      </c>
      <c r="E192" s="11" t="s">
        <v>16</v>
      </c>
      <c r="F192" s="11" t="s">
        <v>17</v>
      </c>
      <c r="G192" s="11">
        <v>2</v>
      </c>
      <c r="H192" s="12">
        <v>129</v>
      </c>
      <c r="I192" s="12">
        <f t="shared" si="20"/>
        <v>258</v>
      </c>
      <c r="J192" s="13">
        <v>0</v>
      </c>
      <c r="K192" s="12">
        <f t="shared" si="21"/>
        <v>258</v>
      </c>
      <c r="L192" s="11" t="s">
        <v>72</v>
      </c>
      <c r="M192" s="31">
        <f t="shared" si="22"/>
        <v>258</v>
      </c>
      <c r="N192" s="33">
        <f t="shared" si="23"/>
        <v>129</v>
      </c>
      <c r="O192" s="31" t="str">
        <f t="shared" si="24"/>
        <v>August</v>
      </c>
      <c r="P192" s="33">
        <f t="shared" si="25"/>
        <v>-129</v>
      </c>
      <c r="Q192" s="33">
        <f t="shared" si="26"/>
        <v>0.5</v>
      </c>
      <c r="R192" s="33">
        <f t="shared" si="27"/>
        <v>129</v>
      </c>
      <c r="S192" s="33" t="str">
        <f t="shared" si="28"/>
        <v>Small</v>
      </c>
      <c r="T192" s="33" t="str">
        <f t="shared" si="29"/>
        <v>High</v>
      </c>
    </row>
    <row r="193" spans="1:20" x14ac:dyDescent="0.3">
      <c r="A193" s="5" t="s">
        <v>373</v>
      </c>
      <c r="B193" s="5" t="s">
        <v>374</v>
      </c>
      <c r="C193" s="5" t="s">
        <v>32</v>
      </c>
      <c r="D193" s="5" t="s">
        <v>33</v>
      </c>
      <c r="E193" s="5" t="s">
        <v>93</v>
      </c>
      <c r="F193" s="5" t="s">
        <v>24</v>
      </c>
      <c r="G193" s="5">
        <v>7</v>
      </c>
      <c r="H193" s="6">
        <v>599</v>
      </c>
      <c r="I193" s="6">
        <f t="shared" si="20"/>
        <v>4193</v>
      </c>
      <c r="J193" s="7">
        <v>0</v>
      </c>
      <c r="K193" s="6">
        <f t="shared" si="21"/>
        <v>4193</v>
      </c>
      <c r="L193" s="5" t="s">
        <v>18</v>
      </c>
      <c r="M193" s="31">
        <f t="shared" si="22"/>
        <v>4193</v>
      </c>
      <c r="N193" s="33">
        <f t="shared" si="23"/>
        <v>3594</v>
      </c>
      <c r="O193" s="31" t="str">
        <f t="shared" si="24"/>
        <v>August</v>
      </c>
      <c r="P193" s="33">
        <f t="shared" si="25"/>
        <v>-3594</v>
      </c>
      <c r="Q193" s="33">
        <f t="shared" si="26"/>
        <v>0.8571428571428571</v>
      </c>
      <c r="R193" s="33">
        <f t="shared" si="27"/>
        <v>599</v>
      </c>
      <c r="S193" s="33" t="str">
        <f t="shared" si="28"/>
        <v>Small</v>
      </c>
      <c r="T193" s="33" t="str">
        <f t="shared" si="29"/>
        <v>Low</v>
      </c>
    </row>
    <row r="194" spans="1:20" x14ac:dyDescent="0.3">
      <c r="A194" s="2" t="s">
        <v>375</v>
      </c>
      <c r="B194" s="2" t="s">
        <v>376</v>
      </c>
      <c r="C194" s="2" t="s">
        <v>80</v>
      </c>
      <c r="D194" s="2" t="s">
        <v>22</v>
      </c>
      <c r="E194" s="2" t="s">
        <v>147</v>
      </c>
      <c r="F194" s="2" t="s">
        <v>24</v>
      </c>
      <c r="G194" s="2">
        <v>1</v>
      </c>
      <c r="H194" s="3">
        <v>79.989999999999995</v>
      </c>
      <c r="I194" s="3">
        <f t="shared" ref="I194:I257" si="30">H194*G194</f>
        <v>79.989999999999995</v>
      </c>
      <c r="J194" s="4">
        <v>8</v>
      </c>
      <c r="K194" s="3">
        <f t="shared" ref="K194:K257" si="31">I194*(1-J194/100)</f>
        <v>73.590800000000002</v>
      </c>
      <c r="L194" s="2" t="s">
        <v>18</v>
      </c>
      <c r="M194" s="31">
        <f t="shared" si="22"/>
        <v>79.989999999999995</v>
      </c>
      <c r="N194" s="33">
        <f t="shared" si="23"/>
        <v>0</v>
      </c>
      <c r="O194" s="31" t="str">
        <f t="shared" si="24"/>
        <v>September</v>
      </c>
      <c r="P194" s="33">
        <f t="shared" si="25"/>
        <v>6.3991999999999933</v>
      </c>
      <c r="Q194" s="33">
        <f t="shared" si="26"/>
        <v>0</v>
      </c>
      <c r="R194" s="33">
        <f t="shared" si="27"/>
        <v>73.590800000000002</v>
      </c>
      <c r="S194" s="33" t="str">
        <f t="shared" si="28"/>
        <v>Small</v>
      </c>
      <c r="T194" s="33" t="str">
        <f t="shared" si="29"/>
        <v>High</v>
      </c>
    </row>
    <row r="195" spans="1:20" x14ac:dyDescent="0.3">
      <c r="A195" s="5" t="s">
        <v>377</v>
      </c>
      <c r="B195" s="5" t="s">
        <v>378</v>
      </c>
      <c r="C195" s="5" t="s">
        <v>49</v>
      </c>
      <c r="D195" s="5" t="s">
        <v>38</v>
      </c>
      <c r="E195" s="5" t="s">
        <v>87</v>
      </c>
      <c r="F195" s="5" t="s">
        <v>61</v>
      </c>
      <c r="G195" s="5">
        <v>7</v>
      </c>
      <c r="H195" s="6">
        <v>299</v>
      </c>
      <c r="I195" s="6">
        <f t="shared" si="30"/>
        <v>2093</v>
      </c>
      <c r="J195" s="7">
        <v>10</v>
      </c>
      <c r="K195" s="6">
        <f t="shared" si="31"/>
        <v>1883.7</v>
      </c>
      <c r="L195" s="5" t="s">
        <v>18</v>
      </c>
      <c r="M195" s="31">
        <f t="shared" ref="M195:M258" si="32">G195*H195</f>
        <v>2093</v>
      </c>
      <c r="N195" s="33">
        <f t="shared" ref="N195:N258" si="33">M195-H195</f>
        <v>1794</v>
      </c>
      <c r="O195" s="31" t="str">
        <f t="shared" ref="O195:O258" si="34">TEXT(B195,"MMMM")</f>
        <v>September</v>
      </c>
      <c r="P195" s="33">
        <f t="shared" ref="P195:P258" si="35">H195-K195</f>
        <v>-1584.7</v>
      </c>
      <c r="Q195" s="33">
        <f t="shared" ref="Q195:Q258" si="36">N195/K195</f>
        <v>0.95238095238095233</v>
      </c>
      <c r="R195" s="33">
        <f t="shared" ref="R195:R258" si="37">K195/G195</f>
        <v>269.10000000000002</v>
      </c>
      <c r="S195" s="33" t="str">
        <f t="shared" ref="S195:S258" si="38">IF(G195&gt;=10,"Large","Small")</f>
        <v>Small</v>
      </c>
      <c r="T195" s="33" t="str">
        <f t="shared" ref="T195:T258" si="39">IF(K194&gt;1000,"High","Low")</f>
        <v>Low</v>
      </c>
    </row>
    <row r="196" spans="1:20" x14ac:dyDescent="0.3">
      <c r="A196" s="2" t="s">
        <v>379</v>
      </c>
      <c r="B196" s="2" t="s">
        <v>380</v>
      </c>
      <c r="C196" s="2" t="s">
        <v>14</v>
      </c>
      <c r="D196" s="2" t="s">
        <v>15</v>
      </c>
      <c r="E196" s="2" t="s">
        <v>43</v>
      </c>
      <c r="F196" s="2" t="s">
        <v>24</v>
      </c>
      <c r="G196" s="2">
        <v>20</v>
      </c>
      <c r="H196" s="3">
        <v>399</v>
      </c>
      <c r="I196" s="3">
        <f t="shared" si="30"/>
        <v>7980</v>
      </c>
      <c r="J196" s="4">
        <v>10</v>
      </c>
      <c r="K196" s="3">
        <f t="shared" si="31"/>
        <v>7182</v>
      </c>
      <c r="L196" s="2" t="s">
        <v>18</v>
      </c>
      <c r="M196" s="31">
        <f t="shared" si="32"/>
        <v>7980</v>
      </c>
      <c r="N196" s="33">
        <f t="shared" si="33"/>
        <v>7581</v>
      </c>
      <c r="O196" s="31" t="str">
        <f t="shared" si="34"/>
        <v>September</v>
      </c>
      <c r="P196" s="33">
        <f t="shared" si="35"/>
        <v>-6783</v>
      </c>
      <c r="Q196" s="33">
        <f t="shared" si="36"/>
        <v>1.0555555555555556</v>
      </c>
      <c r="R196" s="33">
        <f t="shared" si="37"/>
        <v>359.1</v>
      </c>
      <c r="S196" s="33" t="str">
        <f t="shared" si="38"/>
        <v>Large</v>
      </c>
      <c r="T196" s="33" t="str">
        <f t="shared" si="39"/>
        <v>High</v>
      </c>
    </row>
    <row r="197" spans="1:20" x14ac:dyDescent="0.3">
      <c r="A197" s="5" t="s">
        <v>381</v>
      </c>
      <c r="B197" s="5" t="s">
        <v>380</v>
      </c>
      <c r="C197" s="5" t="s">
        <v>55</v>
      </c>
      <c r="D197" s="5" t="s">
        <v>38</v>
      </c>
      <c r="E197" s="5" t="s">
        <v>34</v>
      </c>
      <c r="F197" s="5" t="s">
        <v>30</v>
      </c>
      <c r="G197" s="5">
        <v>17</v>
      </c>
      <c r="H197" s="6">
        <v>19.989999999999998</v>
      </c>
      <c r="I197" s="6">
        <f t="shared" si="30"/>
        <v>339.83</v>
      </c>
      <c r="J197" s="7">
        <v>12</v>
      </c>
      <c r="K197" s="6">
        <f t="shared" si="31"/>
        <v>299.05039999999997</v>
      </c>
      <c r="L197" s="5" t="s">
        <v>18</v>
      </c>
      <c r="M197" s="31">
        <f t="shared" si="32"/>
        <v>339.83</v>
      </c>
      <c r="N197" s="33">
        <f t="shared" si="33"/>
        <v>319.83999999999997</v>
      </c>
      <c r="O197" s="31" t="str">
        <f t="shared" si="34"/>
        <v>September</v>
      </c>
      <c r="P197" s="33">
        <f t="shared" si="35"/>
        <v>-279.06039999999996</v>
      </c>
      <c r="Q197" s="33">
        <f t="shared" si="36"/>
        <v>1.0695187165775402</v>
      </c>
      <c r="R197" s="33">
        <f t="shared" si="37"/>
        <v>17.591199999999997</v>
      </c>
      <c r="S197" s="33" t="str">
        <f t="shared" si="38"/>
        <v>Large</v>
      </c>
      <c r="T197" s="33" t="str">
        <f t="shared" si="39"/>
        <v>High</v>
      </c>
    </row>
    <row r="198" spans="1:20" x14ac:dyDescent="0.3">
      <c r="A198" s="2" t="s">
        <v>382</v>
      </c>
      <c r="B198" s="2" t="s">
        <v>380</v>
      </c>
      <c r="C198" s="2" t="s">
        <v>21</v>
      </c>
      <c r="D198" s="2" t="s">
        <v>22</v>
      </c>
      <c r="E198" s="2" t="s">
        <v>141</v>
      </c>
      <c r="F198" s="2" t="s">
        <v>17</v>
      </c>
      <c r="G198" s="2">
        <v>25</v>
      </c>
      <c r="H198" s="3">
        <v>169</v>
      </c>
      <c r="I198" s="3">
        <f t="shared" si="30"/>
        <v>4225</v>
      </c>
      <c r="J198" s="4">
        <v>0</v>
      </c>
      <c r="K198" s="3">
        <f t="shared" si="31"/>
        <v>4225</v>
      </c>
      <c r="L198" s="2" t="s">
        <v>18</v>
      </c>
      <c r="M198" s="31">
        <f t="shared" si="32"/>
        <v>4225</v>
      </c>
      <c r="N198" s="33">
        <f t="shared" si="33"/>
        <v>4056</v>
      </c>
      <c r="O198" s="31" t="str">
        <f t="shared" si="34"/>
        <v>September</v>
      </c>
      <c r="P198" s="33">
        <f t="shared" si="35"/>
        <v>-4056</v>
      </c>
      <c r="Q198" s="33">
        <f t="shared" si="36"/>
        <v>0.96</v>
      </c>
      <c r="R198" s="33">
        <f t="shared" si="37"/>
        <v>169</v>
      </c>
      <c r="S198" s="33" t="str">
        <f t="shared" si="38"/>
        <v>Large</v>
      </c>
      <c r="T198" s="33" t="str">
        <f t="shared" si="39"/>
        <v>Low</v>
      </c>
    </row>
    <row r="199" spans="1:20" x14ac:dyDescent="0.3">
      <c r="A199" s="5" t="s">
        <v>383</v>
      </c>
      <c r="B199" s="5" t="s">
        <v>384</v>
      </c>
      <c r="C199" s="5" t="s">
        <v>14</v>
      </c>
      <c r="D199" s="5" t="s">
        <v>15</v>
      </c>
      <c r="E199" s="5" t="s">
        <v>103</v>
      </c>
      <c r="F199" s="5" t="s">
        <v>61</v>
      </c>
      <c r="G199" s="5">
        <v>30</v>
      </c>
      <c r="H199" s="6">
        <v>99</v>
      </c>
      <c r="I199" s="6">
        <f t="shared" si="30"/>
        <v>2970</v>
      </c>
      <c r="J199" s="7">
        <v>12</v>
      </c>
      <c r="K199" s="6">
        <f t="shared" si="31"/>
        <v>2613.6</v>
      </c>
      <c r="L199" s="5" t="s">
        <v>18</v>
      </c>
      <c r="M199" s="31">
        <f t="shared" si="32"/>
        <v>2970</v>
      </c>
      <c r="N199" s="33">
        <f t="shared" si="33"/>
        <v>2871</v>
      </c>
      <c r="O199" s="31" t="str">
        <f t="shared" si="34"/>
        <v>September</v>
      </c>
      <c r="P199" s="33">
        <f t="shared" si="35"/>
        <v>-2514.6</v>
      </c>
      <c r="Q199" s="33">
        <f t="shared" si="36"/>
        <v>1.0984848484848486</v>
      </c>
      <c r="R199" s="33">
        <f t="shared" si="37"/>
        <v>87.11999999999999</v>
      </c>
      <c r="S199" s="33" t="str">
        <f t="shared" si="38"/>
        <v>Large</v>
      </c>
      <c r="T199" s="33" t="str">
        <f t="shared" si="39"/>
        <v>High</v>
      </c>
    </row>
    <row r="200" spans="1:20" x14ac:dyDescent="0.3">
      <c r="A200" s="2" t="s">
        <v>385</v>
      </c>
      <c r="B200" s="2" t="s">
        <v>384</v>
      </c>
      <c r="C200" s="2" t="s">
        <v>55</v>
      </c>
      <c r="D200" s="2" t="s">
        <v>38</v>
      </c>
      <c r="E200" s="2" t="s">
        <v>141</v>
      </c>
      <c r="F200" s="2" t="s">
        <v>17</v>
      </c>
      <c r="G200" s="2">
        <v>24</v>
      </c>
      <c r="H200" s="3">
        <v>169</v>
      </c>
      <c r="I200" s="3">
        <f t="shared" si="30"/>
        <v>4056</v>
      </c>
      <c r="J200" s="4">
        <v>5</v>
      </c>
      <c r="K200" s="3">
        <f t="shared" si="31"/>
        <v>3853.2</v>
      </c>
      <c r="L200" s="2" t="s">
        <v>18</v>
      </c>
      <c r="M200" s="31">
        <f t="shared" si="32"/>
        <v>4056</v>
      </c>
      <c r="N200" s="33">
        <f t="shared" si="33"/>
        <v>3887</v>
      </c>
      <c r="O200" s="31" t="str">
        <f t="shared" si="34"/>
        <v>September</v>
      </c>
      <c r="P200" s="33">
        <f t="shared" si="35"/>
        <v>-3684.2</v>
      </c>
      <c r="Q200" s="33">
        <f t="shared" si="36"/>
        <v>1.0087719298245614</v>
      </c>
      <c r="R200" s="33">
        <f t="shared" si="37"/>
        <v>160.54999999999998</v>
      </c>
      <c r="S200" s="33" t="str">
        <f t="shared" si="38"/>
        <v>Large</v>
      </c>
      <c r="T200" s="33" t="str">
        <f t="shared" si="39"/>
        <v>High</v>
      </c>
    </row>
    <row r="201" spans="1:20" x14ac:dyDescent="0.3">
      <c r="A201" s="8" t="s">
        <v>386</v>
      </c>
      <c r="B201" s="8" t="s">
        <v>384</v>
      </c>
      <c r="C201" s="8" t="s">
        <v>55</v>
      </c>
      <c r="D201" s="8" t="s">
        <v>38</v>
      </c>
      <c r="E201" s="8" t="s">
        <v>103</v>
      </c>
      <c r="F201" s="8" t="s">
        <v>61</v>
      </c>
      <c r="G201" s="8">
        <v>25</v>
      </c>
      <c r="H201" s="9">
        <v>99</v>
      </c>
      <c r="I201" s="9">
        <f t="shared" si="30"/>
        <v>2475</v>
      </c>
      <c r="J201" s="10">
        <v>12</v>
      </c>
      <c r="K201" s="9">
        <f t="shared" si="31"/>
        <v>2178</v>
      </c>
      <c r="L201" s="8" t="s">
        <v>72</v>
      </c>
      <c r="M201" s="31">
        <f t="shared" si="32"/>
        <v>2475</v>
      </c>
      <c r="N201" s="33">
        <f t="shared" si="33"/>
        <v>2376</v>
      </c>
      <c r="O201" s="31" t="str">
        <f t="shared" si="34"/>
        <v>September</v>
      </c>
      <c r="P201" s="33">
        <f t="shared" si="35"/>
        <v>-2079</v>
      </c>
      <c r="Q201" s="33">
        <f t="shared" si="36"/>
        <v>1.0909090909090908</v>
      </c>
      <c r="R201" s="33">
        <f t="shared" si="37"/>
        <v>87.12</v>
      </c>
      <c r="S201" s="33" t="str">
        <f t="shared" si="38"/>
        <v>Large</v>
      </c>
      <c r="T201" s="33" t="str">
        <f t="shared" si="39"/>
        <v>High</v>
      </c>
    </row>
    <row r="202" spans="1:20" x14ac:dyDescent="0.3">
      <c r="A202" s="2" t="s">
        <v>387</v>
      </c>
      <c r="B202" s="2" t="s">
        <v>384</v>
      </c>
      <c r="C202" s="2" t="s">
        <v>21</v>
      </c>
      <c r="D202" s="2" t="s">
        <v>22</v>
      </c>
      <c r="E202" s="2" t="s">
        <v>34</v>
      </c>
      <c r="F202" s="2" t="s">
        <v>30</v>
      </c>
      <c r="G202" s="2">
        <v>25</v>
      </c>
      <c r="H202" s="3">
        <v>19.989999999999998</v>
      </c>
      <c r="I202" s="3">
        <f t="shared" si="30"/>
        <v>499.74999999999994</v>
      </c>
      <c r="J202" s="4">
        <v>0</v>
      </c>
      <c r="K202" s="3">
        <f t="shared" si="31"/>
        <v>499.74999999999994</v>
      </c>
      <c r="L202" s="2" t="s">
        <v>18</v>
      </c>
      <c r="M202" s="31">
        <f t="shared" si="32"/>
        <v>499.74999999999994</v>
      </c>
      <c r="N202" s="33">
        <f t="shared" si="33"/>
        <v>479.75999999999993</v>
      </c>
      <c r="O202" s="31" t="str">
        <f t="shared" si="34"/>
        <v>September</v>
      </c>
      <c r="P202" s="33">
        <f t="shared" si="35"/>
        <v>-479.75999999999993</v>
      </c>
      <c r="Q202" s="33">
        <f t="shared" si="36"/>
        <v>0.96</v>
      </c>
      <c r="R202" s="33">
        <f t="shared" si="37"/>
        <v>19.989999999999998</v>
      </c>
      <c r="S202" s="33" t="str">
        <f t="shared" si="38"/>
        <v>Large</v>
      </c>
      <c r="T202" s="33" t="str">
        <f t="shared" si="39"/>
        <v>High</v>
      </c>
    </row>
    <row r="203" spans="1:20" x14ac:dyDescent="0.3">
      <c r="A203" s="14" t="s">
        <v>388</v>
      </c>
      <c r="B203" s="14" t="s">
        <v>389</v>
      </c>
      <c r="C203" s="14" t="s">
        <v>55</v>
      </c>
      <c r="D203" s="14" t="s">
        <v>38</v>
      </c>
      <c r="E203" s="14" t="s">
        <v>99</v>
      </c>
      <c r="F203" s="14" t="s">
        <v>30</v>
      </c>
      <c r="G203" s="14">
        <v>29</v>
      </c>
      <c r="H203" s="15">
        <v>89.99</v>
      </c>
      <c r="I203" s="15">
        <f t="shared" si="30"/>
        <v>2609.71</v>
      </c>
      <c r="J203" s="16">
        <v>12</v>
      </c>
      <c r="K203" s="15">
        <f t="shared" si="31"/>
        <v>2296.5448000000001</v>
      </c>
      <c r="L203" s="14" t="s">
        <v>132</v>
      </c>
      <c r="M203" s="31">
        <f t="shared" si="32"/>
        <v>2609.71</v>
      </c>
      <c r="N203" s="33">
        <f t="shared" si="33"/>
        <v>2519.7200000000003</v>
      </c>
      <c r="O203" s="31" t="str">
        <f t="shared" si="34"/>
        <v>September</v>
      </c>
      <c r="P203" s="33">
        <f t="shared" si="35"/>
        <v>-2206.5548000000003</v>
      </c>
      <c r="Q203" s="33">
        <f t="shared" si="36"/>
        <v>1.0971786833855799</v>
      </c>
      <c r="R203" s="33">
        <f t="shared" si="37"/>
        <v>79.191200000000009</v>
      </c>
      <c r="S203" s="33" t="str">
        <f t="shared" si="38"/>
        <v>Large</v>
      </c>
      <c r="T203" s="33" t="str">
        <f t="shared" si="39"/>
        <v>Low</v>
      </c>
    </row>
    <row r="204" spans="1:20" x14ac:dyDescent="0.3">
      <c r="A204" s="2" t="s">
        <v>390</v>
      </c>
      <c r="B204" s="2" t="s">
        <v>389</v>
      </c>
      <c r="C204" s="2" t="s">
        <v>55</v>
      </c>
      <c r="D204" s="2" t="s">
        <v>38</v>
      </c>
      <c r="E204" s="2" t="s">
        <v>74</v>
      </c>
      <c r="F204" s="2" t="s">
        <v>30</v>
      </c>
      <c r="G204" s="2">
        <v>8</v>
      </c>
      <c r="H204" s="3">
        <v>49.99</v>
      </c>
      <c r="I204" s="3">
        <f t="shared" si="30"/>
        <v>399.92</v>
      </c>
      <c r="J204" s="4">
        <v>10</v>
      </c>
      <c r="K204" s="3">
        <f t="shared" si="31"/>
        <v>359.928</v>
      </c>
      <c r="L204" s="2" t="s">
        <v>18</v>
      </c>
      <c r="M204" s="31">
        <f t="shared" si="32"/>
        <v>399.92</v>
      </c>
      <c r="N204" s="33">
        <f t="shared" si="33"/>
        <v>349.93</v>
      </c>
      <c r="O204" s="31" t="str">
        <f t="shared" si="34"/>
        <v>September</v>
      </c>
      <c r="P204" s="33">
        <f t="shared" si="35"/>
        <v>-309.93799999999999</v>
      </c>
      <c r="Q204" s="33">
        <f t="shared" si="36"/>
        <v>0.97222222222222221</v>
      </c>
      <c r="R204" s="33">
        <f t="shared" si="37"/>
        <v>44.991</v>
      </c>
      <c r="S204" s="33" t="str">
        <f t="shared" si="38"/>
        <v>Small</v>
      </c>
      <c r="T204" s="33" t="str">
        <f t="shared" si="39"/>
        <v>High</v>
      </c>
    </row>
    <row r="205" spans="1:20" x14ac:dyDescent="0.3">
      <c r="A205" s="5" t="s">
        <v>391</v>
      </c>
      <c r="B205" s="5" t="s">
        <v>389</v>
      </c>
      <c r="C205" s="5" t="s">
        <v>52</v>
      </c>
      <c r="D205" s="5" t="s">
        <v>33</v>
      </c>
      <c r="E205" s="5" t="s">
        <v>43</v>
      </c>
      <c r="F205" s="5" t="s">
        <v>24</v>
      </c>
      <c r="G205" s="5">
        <v>14</v>
      </c>
      <c r="H205" s="6">
        <v>399</v>
      </c>
      <c r="I205" s="6">
        <f t="shared" si="30"/>
        <v>5586</v>
      </c>
      <c r="J205" s="7">
        <v>0</v>
      </c>
      <c r="K205" s="6">
        <f t="shared" si="31"/>
        <v>5586</v>
      </c>
      <c r="L205" s="5" t="s">
        <v>18</v>
      </c>
      <c r="M205" s="31">
        <f t="shared" si="32"/>
        <v>5586</v>
      </c>
      <c r="N205" s="33">
        <f t="shared" si="33"/>
        <v>5187</v>
      </c>
      <c r="O205" s="31" t="str">
        <f t="shared" si="34"/>
        <v>September</v>
      </c>
      <c r="P205" s="33">
        <f t="shared" si="35"/>
        <v>-5187</v>
      </c>
      <c r="Q205" s="33">
        <f t="shared" si="36"/>
        <v>0.9285714285714286</v>
      </c>
      <c r="R205" s="33">
        <f t="shared" si="37"/>
        <v>399</v>
      </c>
      <c r="S205" s="33" t="str">
        <f t="shared" si="38"/>
        <v>Large</v>
      </c>
      <c r="T205" s="33" t="str">
        <f t="shared" si="39"/>
        <v>Low</v>
      </c>
    </row>
    <row r="206" spans="1:20" x14ac:dyDescent="0.3">
      <c r="A206" s="11" t="s">
        <v>392</v>
      </c>
      <c r="B206" s="11" t="s">
        <v>389</v>
      </c>
      <c r="C206" s="11" t="s">
        <v>55</v>
      </c>
      <c r="D206" s="11" t="s">
        <v>38</v>
      </c>
      <c r="E206" s="11" t="s">
        <v>144</v>
      </c>
      <c r="F206" s="11" t="s">
        <v>30</v>
      </c>
      <c r="G206" s="11">
        <v>13</v>
      </c>
      <c r="H206" s="12">
        <v>79.989999999999995</v>
      </c>
      <c r="I206" s="12">
        <f t="shared" si="30"/>
        <v>1039.8699999999999</v>
      </c>
      <c r="J206" s="13">
        <v>12</v>
      </c>
      <c r="K206" s="12">
        <f t="shared" si="31"/>
        <v>915.08559999999989</v>
      </c>
      <c r="L206" s="11" t="s">
        <v>72</v>
      </c>
      <c r="M206" s="31">
        <f t="shared" si="32"/>
        <v>1039.8699999999999</v>
      </c>
      <c r="N206" s="33">
        <f t="shared" si="33"/>
        <v>959.87999999999988</v>
      </c>
      <c r="O206" s="31" t="str">
        <f t="shared" si="34"/>
        <v>September</v>
      </c>
      <c r="P206" s="33">
        <f t="shared" si="35"/>
        <v>-835.09559999999988</v>
      </c>
      <c r="Q206" s="33">
        <f t="shared" si="36"/>
        <v>1.048951048951049</v>
      </c>
      <c r="R206" s="33">
        <f t="shared" si="37"/>
        <v>70.391199999999998</v>
      </c>
      <c r="S206" s="33" t="str">
        <f t="shared" si="38"/>
        <v>Large</v>
      </c>
      <c r="T206" s="33" t="str">
        <f t="shared" si="39"/>
        <v>High</v>
      </c>
    </row>
    <row r="207" spans="1:20" x14ac:dyDescent="0.3">
      <c r="A207" s="5" t="s">
        <v>393</v>
      </c>
      <c r="B207" s="5" t="s">
        <v>394</v>
      </c>
      <c r="C207" s="5" t="s">
        <v>55</v>
      </c>
      <c r="D207" s="5" t="s">
        <v>38</v>
      </c>
      <c r="E207" s="5" t="s">
        <v>64</v>
      </c>
      <c r="F207" s="5" t="s">
        <v>24</v>
      </c>
      <c r="G207" s="5">
        <v>24</v>
      </c>
      <c r="H207" s="6">
        <v>1299</v>
      </c>
      <c r="I207" s="6">
        <f t="shared" si="30"/>
        <v>31176</v>
      </c>
      <c r="J207" s="7">
        <v>5</v>
      </c>
      <c r="K207" s="6">
        <f t="shared" si="31"/>
        <v>29617.199999999997</v>
      </c>
      <c r="L207" s="5" t="s">
        <v>18</v>
      </c>
      <c r="M207" s="31">
        <f t="shared" si="32"/>
        <v>31176</v>
      </c>
      <c r="N207" s="33">
        <f t="shared" si="33"/>
        <v>29877</v>
      </c>
      <c r="O207" s="31" t="str">
        <f t="shared" si="34"/>
        <v>September</v>
      </c>
      <c r="P207" s="33">
        <f t="shared" si="35"/>
        <v>-28318.199999999997</v>
      </c>
      <c r="Q207" s="33">
        <f t="shared" si="36"/>
        <v>1.0087719298245614</v>
      </c>
      <c r="R207" s="33">
        <f t="shared" si="37"/>
        <v>1234.05</v>
      </c>
      <c r="S207" s="33" t="str">
        <f t="shared" si="38"/>
        <v>Large</v>
      </c>
      <c r="T207" s="33" t="str">
        <f t="shared" si="39"/>
        <v>Low</v>
      </c>
    </row>
    <row r="208" spans="1:20" x14ac:dyDescent="0.3">
      <c r="A208" s="2" t="s">
        <v>395</v>
      </c>
      <c r="B208" s="2" t="s">
        <v>394</v>
      </c>
      <c r="C208" s="2" t="s">
        <v>32</v>
      </c>
      <c r="D208" s="2" t="s">
        <v>33</v>
      </c>
      <c r="E208" s="2" t="s">
        <v>147</v>
      </c>
      <c r="F208" s="2" t="s">
        <v>24</v>
      </c>
      <c r="G208" s="2">
        <v>1</v>
      </c>
      <c r="H208" s="3">
        <v>79.989999999999995</v>
      </c>
      <c r="I208" s="3">
        <f t="shared" si="30"/>
        <v>79.989999999999995</v>
      </c>
      <c r="J208" s="4">
        <v>0</v>
      </c>
      <c r="K208" s="3">
        <f t="shared" si="31"/>
        <v>79.989999999999995</v>
      </c>
      <c r="L208" s="2" t="s">
        <v>18</v>
      </c>
      <c r="M208" s="31">
        <f t="shared" si="32"/>
        <v>79.989999999999995</v>
      </c>
      <c r="N208" s="33">
        <f t="shared" si="33"/>
        <v>0</v>
      </c>
      <c r="O208" s="31" t="str">
        <f t="shared" si="34"/>
        <v>September</v>
      </c>
      <c r="P208" s="33">
        <f t="shared" si="35"/>
        <v>0</v>
      </c>
      <c r="Q208" s="33">
        <f t="shared" si="36"/>
        <v>0</v>
      </c>
      <c r="R208" s="33">
        <f t="shared" si="37"/>
        <v>79.989999999999995</v>
      </c>
      <c r="S208" s="33" t="str">
        <f t="shared" si="38"/>
        <v>Small</v>
      </c>
      <c r="T208" s="33" t="str">
        <f t="shared" si="39"/>
        <v>High</v>
      </c>
    </row>
    <row r="209" spans="1:20" x14ac:dyDescent="0.3">
      <c r="A209" s="14" t="s">
        <v>396</v>
      </c>
      <c r="B209" s="14" t="s">
        <v>397</v>
      </c>
      <c r="C209" s="14" t="s">
        <v>41</v>
      </c>
      <c r="D209" s="14" t="s">
        <v>15</v>
      </c>
      <c r="E209" s="14" t="s">
        <v>147</v>
      </c>
      <c r="F209" s="14" t="s">
        <v>24</v>
      </c>
      <c r="G209" s="14">
        <v>9</v>
      </c>
      <c r="H209" s="15">
        <v>79.989999999999995</v>
      </c>
      <c r="I209" s="15">
        <f t="shared" si="30"/>
        <v>719.91</v>
      </c>
      <c r="J209" s="16">
        <v>0</v>
      </c>
      <c r="K209" s="15">
        <f t="shared" si="31"/>
        <v>719.91</v>
      </c>
      <c r="L209" s="14" t="s">
        <v>132</v>
      </c>
      <c r="M209" s="31">
        <f t="shared" si="32"/>
        <v>719.91</v>
      </c>
      <c r="N209" s="33">
        <f t="shared" si="33"/>
        <v>639.91999999999996</v>
      </c>
      <c r="O209" s="31" t="str">
        <f t="shared" si="34"/>
        <v>September</v>
      </c>
      <c r="P209" s="33">
        <f t="shared" si="35"/>
        <v>-639.91999999999996</v>
      </c>
      <c r="Q209" s="33">
        <f t="shared" si="36"/>
        <v>0.88888888888888884</v>
      </c>
      <c r="R209" s="33">
        <f t="shared" si="37"/>
        <v>79.989999999999995</v>
      </c>
      <c r="S209" s="33" t="str">
        <f t="shared" si="38"/>
        <v>Small</v>
      </c>
      <c r="T209" s="33" t="str">
        <f t="shared" si="39"/>
        <v>Low</v>
      </c>
    </row>
    <row r="210" spans="1:20" x14ac:dyDescent="0.3">
      <c r="A210" s="11" t="s">
        <v>398</v>
      </c>
      <c r="B210" s="11" t="s">
        <v>399</v>
      </c>
      <c r="C210" s="11" t="s">
        <v>28</v>
      </c>
      <c r="D210" s="11" t="s">
        <v>22</v>
      </c>
      <c r="E210" s="11" t="s">
        <v>77</v>
      </c>
      <c r="F210" s="11" t="s">
        <v>61</v>
      </c>
      <c r="G210" s="11">
        <v>27</v>
      </c>
      <c r="H210" s="12">
        <v>149</v>
      </c>
      <c r="I210" s="12">
        <f t="shared" si="30"/>
        <v>4023</v>
      </c>
      <c r="J210" s="13">
        <v>5</v>
      </c>
      <c r="K210" s="12">
        <f t="shared" si="31"/>
        <v>3821.85</v>
      </c>
      <c r="L210" s="11" t="s">
        <v>72</v>
      </c>
      <c r="M210" s="31">
        <f t="shared" si="32"/>
        <v>4023</v>
      </c>
      <c r="N210" s="33">
        <f t="shared" si="33"/>
        <v>3874</v>
      </c>
      <c r="O210" s="31" t="str">
        <f t="shared" si="34"/>
        <v>September</v>
      </c>
      <c r="P210" s="33">
        <f t="shared" si="35"/>
        <v>-3672.85</v>
      </c>
      <c r="Q210" s="33">
        <f t="shared" si="36"/>
        <v>1.0136452241715399</v>
      </c>
      <c r="R210" s="33">
        <f t="shared" si="37"/>
        <v>141.54999999999998</v>
      </c>
      <c r="S210" s="33" t="str">
        <f t="shared" si="38"/>
        <v>Large</v>
      </c>
      <c r="T210" s="33" t="str">
        <f t="shared" si="39"/>
        <v>Low</v>
      </c>
    </row>
    <row r="211" spans="1:20" x14ac:dyDescent="0.3">
      <c r="A211" s="5" t="s">
        <v>400</v>
      </c>
      <c r="B211" s="5" t="s">
        <v>401</v>
      </c>
      <c r="C211" s="5" t="s">
        <v>21</v>
      </c>
      <c r="D211" s="5" t="s">
        <v>22</v>
      </c>
      <c r="E211" s="5" t="s">
        <v>103</v>
      </c>
      <c r="F211" s="5" t="s">
        <v>61</v>
      </c>
      <c r="G211" s="5">
        <v>11</v>
      </c>
      <c r="H211" s="6">
        <v>99</v>
      </c>
      <c r="I211" s="6">
        <f t="shared" si="30"/>
        <v>1089</v>
      </c>
      <c r="J211" s="7">
        <v>0</v>
      </c>
      <c r="K211" s="6">
        <f t="shared" si="31"/>
        <v>1089</v>
      </c>
      <c r="L211" s="5" t="s">
        <v>18</v>
      </c>
      <c r="M211" s="31">
        <f t="shared" si="32"/>
        <v>1089</v>
      </c>
      <c r="N211" s="33">
        <f t="shared" si="33"/>
        <v>990</v>
      </c>
      <c r="O211" s="31" t="str">
        <f t="shared" si="34"/>
        <v>September</v>
      </c>
      <c r="P211" s="33">
        <f t="shared" si="35"/>
        <v>-990</v>
      </c>
      <c r="Q211" s="33">
        <f t="shared" si="36"/>
        <v>0.90909090909090906</v>
      </c>
      <c r="R211" s="33">
        <f t="shared" si="37"/>
        <v>99</v>
      </c>
      <c r="S211" s="33" t="str">
        <f t="shared" si="38"/>
        <v>Large</v>
      </c>
      <c r="T211" s="33" t="str">
        <f t="shared" si="39"/>
        <v>High</v>
      </c>
    </row>
    <row r="212" spans="1:20" x14ac:dyDescent="0.3">
      <c r="A212" s="2" t="s">
        <v>402</v>
      </c>
      <c r="B212" s="2" t="s">
        <v>401</v>
      </c>
      <c r="C212" s="2" t="s">
        <v>14</v>
      </c>
      <c r="D212" s="2" t="s">
        <v>15</v>
      </c>
      <c r="E212" s="2" t="s">
        <v>106</v>
      </c>
      <c r="F212" s="2" t="s">
        <v>17</v>
      </c>
      <c r="G212" s="2">
        <v>10</v>
      </c>
      <c r="H212" s="3">
        <v>199</v>
      </c>
      <c r="I212" s="3">
        <f t="shared" si="30"/>
        <v>1990</v>
      </c>
      <c r="J212" s="4">
        <v>0</v>
      </c>
      <c r="K212" s="3">
        <f t="shared" si="31"/>
        <v>1990</v>
      </c>
      <c r="L212" s="2" t="s">
        <v>18</v>
      </c>
      <c r="M212" s="31">
        <f t="shared" si="32"/>
        <v>1990</v>
      </c>
      <c r="N212" s="33">
        <f t="shared" si="33"/>
        <v>1791</v>
      </c>
      <c r="O212" s="31" t="str">
        <f t="shared" si="34"/>
        <v>September</v>
      </c>
      <c r="P212" s="33">
        <f t="shared" si="35"/>
        <v>-1791</v>
      </c>
      <c r="Q212" s="33">
        <f t="shared" si="36"/>
        <v>0.9</v>
      </c>
      <c r="R212" s="33">
        <f t="shared" si="37"/>
        <v>199</v>
      </c>
      <c r="S212" s="33" t="str">
        <f t="shared" si="38"/>
        <v>Large</v>
      </c>
      <c r="T212" s="33" t="str">
        <f t="shared" si="39"/>
        <v>High</v>
      </c>
    </row>
    <row r="213" spans="1:20" x14ac:dyDescent="0.3">
      <c r="A213" s="5" t="s">
        <v>403</v>
      </c>
      <c r="B213" s="5" t="s">
        <v>404</v>
      </c>
      <c r="C213" s="5" t="s">
        <v>52</v>
      </c>
      <c r="D213" s="5" t="s">
        <v>33</v>
      </c>
      <c r="E213" s="5" t="s">
        <v>34</v>
      </c>
      <c r="F213" s="5" t="s">
        <v>30</v>
      </c>
      <c r="G213" s="5">
        <v>11</v>
      </c>
      <c r="H213" s="6">
        <v>19.989999999999998</v>
      </c>
      <c r="I213" s="6">
        <f t="shared" si="30"/>
        <v>219.89</v>
      </c>
      <c r="J213" s="7">
        <v>5</v>
      </c>
      <c r="K213" s="6">
        <f t="shared" si="31"/>
        <v>208.89549999999997</v>
      </c>
      <c r="L213" s="5" t="s">
        <v>18</v>
      </c>
      <c r="M213" s="31">
        <f t="shared" si="32"/>
        <v>219.89</v>
      </c>
      <c r="N213" s="33">
        <f t="shared" si="33"/>
        <v>199.89999999999998</v>
      </c>
      <c r="O213" s="31" t="str">
        <f t="shared" si="34"/>
        <v>September</v>
      </c>
      <c r="P213" s="33">
        <f t="shared" si="35"/>
        <v>-188.90549999999996</v>
      </c>
      <c r="Q213" s="33">
        <f t="shared" si="36"/>
        <v>0.9569377990430622</v>
      </c>
      <c r="R213" s="33">
        <f t="shared" si="37"/>
        <v>18.990499999999997</v>
      </c>
      <c r="S213" s="33" t="str">
        <f t="shared" si="38"/>
        <v>Large</v>
      </c>
      <c r="T213" s="33" t="str">
        <f t="shared" si="39"/>
        <v>High</v>
      </c>
    </row>
    <row r="214" spans="1:20" x14ac:dyDescent="0.3">
      <c r="A214" s="2" t="s">
        <v>405</v>
      </c>
      <c r="B214" s="2" t="s">
        <v>406</v>
      </c>
      <c r="C214" s="2" t="s">
        <v>80</v>
      </c>
      <c r="D214" s="2" t="s">
        <v>22</v>
      </c>
      <c r="E214" s="2" t="s">
        <v>66</v>
      </c>
      <c r="F214" s="2" t="s">
        <v>17</v>
      </c>
      <c r="G214" s="2">
        <v>24</v>
      </c>
      <c r="H214" s="3">
        <v>549</v>
      </c>
      <c r="I214" s="3">
        <f t="shared" si="30"/>
        <v>13176</v>
      </c>
      <c r="J214" s="4">
        <v>8</v>
      </c>
      <c r="K214" s="3">
        <f t="shared" si="31"/>
        <v>12121.92</v>
      </c>
      <c r="L214" s="2" t="s">
        <v>18</v>
      </c>
      <c r="M214" s="31">
        <f t="shared" si="32"/>
        <v>13176</v>
      </c>
      <c r="N214" s="33">
        <f t="shared" si="33"/>
        <v>12627</v>
      </c>
      <c r="O214" s="31" t="str">
        <f t="shared" si="34"/>
        <v>September</v>
      </c>
      <c r="P214" s="33">
        <f t="shared" si="35"/>
        <v>-11572.92</v>
      </c>
      <c r="Q214" s="33">
        <f t="shared" si="36"/>
        <v>1.0416666666666667</v>
      </c>
      <c r="R214" s="33">
        <f t="shared" si="37"/>
        <v>505.08</v>
      </c>
      <c r="S214" s="33" t="str">
        <f t="shared" si="38"/>
        <v>Large</v>
      </c>
      <c r="T214" s="33" t="str">
        <f t="shared" si="39"/>
        <v>Low</v>
      </c>
    </row>
    <row r="215" spans="1:20" x14ac:dyDescent="0.3">
      <c r="A215" s="5" t="s">
        <v>407</v>
      </c>
      <c r="B215" s="5" t="s">
        <v>408</v>
      </c>
      <c r="C215" s="5" t="s">
        <v>55</v>
      </c>
      <c r="D215" s="5" t="s">
        <v>38</v>
      </c>
      <c r="E215" s="5" t="s">
        <v>34</v>
      </c>
      <c r="F215" s="5" t="s">
        <v>30</v>
      </c>
      <c r="G215" s="5">
        <v>13</v>
      </c>
      <c r="H215" s="6">
        <v>19.989999999999998</v>
      </c>
      <c r="I215" s="6">
        <f t="shared" si="30"/>
        <v>259.87</v>
      </c>
      <c r="J215" s="7">
        <v>12</v>
      </c>
      <c r="K215" s="6">
        <f t="shared" si="31"/>
        <v>228.68559999999999</v>
      </c>
      <c r="L215" s="5" t="s">
        <v>18</v>
      </c>
      <c r="M215" s="31">
        <f t="shared" si="32"/>
        <v>259.87</v>
      </c>
      <c r="N215" s="33">
        <f t="shared" si="33"/>
        <v>239.88</v>
      </c>
      <c r="O215" s="31" t="str">
        <f t="shared" si="34"/>
        <v>September</v>
      </c>
      <c r="P215" s="33">
        <f t="shared" si="35"/>
        <v>-208.69559999999998</v>
      </c>
      <c r="Q215" s="33">
        <f t="shared" si="36"/>
        <v>1.048951048951049</v>
      </c>
      <c r="R215" s="33">
        <f t="shared" si="37"/>
        <v>17.591200000000001</v>
      </c>
      <c r="S215" s="33" t="str">
        <f t="shared" si="38"/>
        <v>Large</v>
      </c>
      <c r="T215" s="33" t="str">
        <f t="shared" si="39"/>
        <v>High</v>
      </c>
    </row>
    <row r="216" spans="1:20" x14ac:dyDescent="0.3">
      <c r="A216" s="2" t="s">
        <v>409</v>
      </c>
      <c r="B216" s="2" t="s">
        <v>410</v>
      </c>
      <c r="C216" s="2" t="s">
        <v>28</v>
      </c>
      <c r="D216" s="2" t="s">
        <v>22</v>
      </c>
      <c r="E216" s="2" t="s">
        <v>93</v>
      </c>
      <c r="F216" s="2" t="s">
        <v>24</v>
      </c>
      <c r="G216" s="2">
        <v>13</v>
      </c>
      <c r="H216" s="3">
        <v>599</v>
      </c>
      <c r="I216" s="3">
        <f t="shared" si="30"/>
        <v>7787</v>
      </c>
      <c r="J216" s="4">
        <v>5</v>
      </c>
      <c r="K216" s="3">
        <f t="shared" si="31"/>
        <v>7397.65</v>
      </c>
      <c r="L216" s="2" t="s">
        <v>18</v>
      </c>
      <c r="M216" s="31">
        <f t="shared" si="32"/>
        <v>7787</v>
      </c>
      <c r="N216" s="33">
        <f t="shared" si="33"/>
        <v>7188</v>
      </c>
      <c r="O216" s="31" t="str">
        <f t="shared" si="34"/>
        <v>September</v>
      </c>
      <c r="P216" s="33">
        <f t="shared" si="35"/>
        <v>-6798.65</v>
      </c>
      <c r="Q216" s="33">
        <f t="shared" si="36"/>
        <v>0.97165991902834015</v>
      </c>
      <c r="R216" s="33">
        <f t="shared" si="37"/>
        <v>569.04999999999995</v>
      </c>
      <c r="S216" s="33" t="str">
        <f t="shared" si="38"/>
        <v>Large</v>
      </c>
      <c r="T216" s="33" t="str">
        <f t="shared" si="39"/>
        <v>Low</v>
      </c>
    </row>
    <row r="217" spans="1:20" x14ac:dyDescent="0.3">
      <c r="A217" s="5" t="s">
        <v>411</v>
      </c>
      <c r="B217" s="5" t="s">
        <v>410</v>
      </c>
      <c r="C217" s="5" t="s">
        <v>49</v>
      </c>
      <c r="D217" s="5" t="s">
        <v>38</v>
      </c>
      <c r="E217" s="5" t="s">
        <v>147</v>
      </c>
      <c r="F217" s="5" t="s">
        <v>24</v>
      </c>
      <c r="G217" s="5">
        <v>8</v>
      </c>
      <c r="H217" s="6">
        <v>79.989999999999995</v>
      </c>
      <c r="I217" s="6">
        <f t="shared" si="30"/>
        <v>639.91999999999996</v>
      </c>
      <c r="J217" s="7">
        <v>12</v>
      </c>
      <c r="K217" s="6">
        <f t="shared" si="31"/>
        <v>563.12959999999998</v>
      </c>
      <c r="L217" s="5" t="s">
        <v>18</v>
      </c>
      <c r="M217" s="31">
        <f t="shared" si="32"/>
        <v>639.91999999999996</v>
      </c>
      <c r="N217" s="33">
        <f t="shared" si="33"/>
        <v>559.92999999999995</v>
      </c>
      <c r="O217" s="31" t="str">
        <f t="shared" si="34"/>
        <v>September</v>
      </c>
      <c r="P217" s="33">
        <f t="shared" si="35"/>
        <v>-483.13959999999997</v>
      </c>
      <c r="Q217" s="33">
        <f t="shared" si="36"/>
        <v>0.99431818181818177</v>
      </c>
      <c r="R217" s="33">
        <f t="shared" si="37"/>
        <v>70.391199999999998</v>
      </c>
      <c r="S217" s="33" t="str">
        <f t="shared" si="38"/>
        <v>Small</v>
      </c>
      <c r="T217" s="33" t="str">
        <f t="shared" si="39"/>
        <v>High</v>
      </c>
    </row>
    <row r="218" spans="1:20" x14ac:dyDescent="0.3">
      <c r="A218" s="2" t="s">
        <v>412</v>
      </c>
      <c r="B218" s="2" t="s">
        <v>410</v>
      </c>
      <c r="C218" s="2" t="s">
        <v>37</v>
      </c>
      <c r="D218" s="2" t="s">
        <v>38</v>
      </c>
      <c r="E218" s="2" t="s">
        <v>103</v>
      </c>
      <c r="F218" s="2" t="s">
        <v>61</v>
      </c>
      <c r="G218" s="2">
        <v>1</v>
      </c>
      <c r="H218" s="3">
        <v>99</v>
      </c>
      <c r="I218" s="3">
        <f t="shared" si="30"/>
        <v>99</v>
      </c>
      <c r="J218" s="4">
        <v>10</v>
      </c>
      <c r="K218" s="3">
        <f t="shared" si="31"/>
        <v>89.100000000000009</v>
      </c>
      <c r="L218" s="2" t="s">
        <v>18</v>
      </c>
      <c r="M218" s="31">
        <f t="shared" si="32"/>
        <v>99</v>
      </c>
      <c r="N218" s="33">
        <f t="shared" si="33"/>
        <v>0</v>
      </c>
      <c r="O218" s="31" t="str">
        <f t="shared" si="34"/>
        <v>September</v>
      </c>
      <c r="P218" s="33">
        <f t="shared" si="35"/>
        <v>9.8999999999999915</v>
      </c>
      <c r="Q218" s="33">
        <f t="shared" si="36"/>
        <v>0</v>
      </c>
      <c r="R218" s="33">
        <f t="shared" si="37"/>
        <v>89.100000000000009</v>
      </c>
      <c r="S218" s="33" t="str">
        <f t="shared" si="38"/>
        <v>Small</v>
      </c>
      <c r="T218" s="33" t="str">
        <f t="shared" si="39"/>
        <v>Low</v>
      </c>
    </row>
    <row r="219" spans="1:20" x14ac:dyDescent="0.3">
      <c r="A219" s="5" t="s">
        <v>413</v>
      </c>
      <c r="B219" s="5" t="s">
        <v>414</v>
      </c>
      <c r="C219" s="5" t="s">
        <v>37</v>
      </c>
      <c r="D219" s="5" t="s">
        <v>38</v>
      </c>
      <c r="E219" s="5" t="s">
        <v>71</v>
      </c>
      <c r="F219" s="5" t="s">
        <v>24</v>
      </c>
      <c r="G219" s="5">
        <v>25</v>
      </c>
      <c r="H219" s="6">
        <v>249</v>
      </c>
      <c r="I219" s="6">
        <f t="shared" si="30"/>
        <v>6225</v>
      </c>
      <c r="J219" s="7">
        <v>0</v>
      </c>
      <c r="K219" s="6">
        <f t="shared" si="31"/>
        <v>6225</v>
      </c>
      <c r="L219" s="5" t="s">
        <v>18</v>
      </c>
      <c r="M219" s="31">
        <f t="shared" si="32"/>
        <v>6225</v>
      </c>
      <c r="N219" s="33">
        <f t="shared" si="33"/>
        <v>5976</v>
      </c>
      <c r="O219" s="31" t="str">
        <f t="shared" si="34"/>
        <v>September</v>
      </c>
      <c r="P219" s="33">
        <f t="shared" si="35"/>
        <v>-5976</v>
      </c>
      <c r="Q219" s="33">
        <f t="shared" si="36"/>
        <v>0.96</v>
      </c>
      <c r="R219" s="33">
        <f t="shared" si="37"/>
        <v>249</v>
      </c>
      <c r="S219" s="33" t="str">
        <f t="shared" si="38"/>
        <v>Large</v>
      </c>
      <c r="T219" s="33" t="str">
        <f t="shared" si="39"/>
        <v>Low</v>
      </c>
    </row>
    <row r="220" spans="1:20" x14ac:dyDescent="0.3">
      <c r="A220" s="17" t="s">
        <v>415</v>
      </c>
      <c r="B220" s="17" t="s">
        <v>416</v>
      </c>
      <c r="C220" s="17" t="s">
        <v>55</v>
      </c>
      <c r="D220" s="17" t="s">
        <v>38</v>
      </c>
      <c r="E220" s="17" t="s">
        <v>106</v>
      </c>
      <c r="F220" s="17" t="s">
        <v>17</v>
      </c>
      <c r="G220" s="17">
        <v>7</v>
      </c>
      <c r="H220" s="18">
        <v>199</v>
      </c>
      <c r="I220" s="18">
        <f t="shared" si="30"/>
        <v>1393</v>
      </c>
      <c r="J220" s="19">
        <v>12</v>
      </c>
      <c r="K220" s="18">
        <f t="shared" si="31"/>
        <v>1225.8399999999999</v>
      </c>
      <c r="L220" s="17" t="s">
        <v>132</v>
      </c>
      <c r="M220" s="31">
        <f t="shared" si="32"/>
        <v>1393</v>
      </c>
      <c r="N220" s="33">
        <f t="shared" si="33"/>
        <v>1194</v>
      </c>
      <c r="O220" s="31" t="str">
        <f t="shared" si="34"/>
        <v>September</v>
      </c>
      <c r="P220" s="33">
        <f t="shared" si="35"/>
        <v>-1026.8399999999999</v>
      </c>
      <c r="Q220" s="33">
        <f t="shared" si="36"/>
        <v>0.97402597402597413</v>
      </c>
      <c r="R220" s="33">
        <f t="shared" si="37"/>
        <v>175.11999999999998</v>
      </c>
      <c r="S220" s="33" t="str">
        <f t="shared" si="38"/>
        <v>Small</v>
      </c>
      <c r="T220" s="33" t="str">
        <f t="shared" si="39"/>
        <v>High</v>
      </c>
    </row>
    <row r="221" spans="1:20" x14ac:dyDescent="0.3">
      <c r="A221" s="5" t="s">
        <v>417</v>
      </c>
      <c r="B221" s="5" t="s">
        <v>416</v>
      </c>
      <c r="C221" s="5" t="s">
        <v>14</v>
      </c>
      <c r="D221" s="5" t="s">
        <v>15</v>
      </c>
      <c r="E221" s="5" t="s">
        <v>29</v>
      </c>
      <c r="F221" s="5" t="s">
        <v>30</v>
      </c>
      <c r="G221" s="5">
        <v>4</v>
      </c>
      <c r="H221" s="6">
        <v>29.99</v>
      </c>
      <c r="I221" s="6">
        <f t="shared" si="30"/>
        <v>119.96</v>
      </c>
      <c r="J221" s="7">
        <v>0</v>
      </c>
      <c r="K221" s="6">
        <f t="shared" si="31"/>
        <v>119.96</v>
      </c>
      <c r="L221" s="5" t="s">
        <v>18</v>
      </c>
      <c r="M221" s="31">
        <f t="shared" si="32"/>
        <v>119.96</v>
      </c>
      <c r="N221" s="33">
        <f t="shared" si="33"/>
        <v>89.97</v>
      </c>
      <c r="O221" s="31" t="str">
        <f t="shared" si="34"/>
        <v>September</v>
      </c>
      <c r="P221" s="33">
        <f t="shared" si="35"/>
        <v>-89.97</v>
      </c>
      <c r="Q221" s="33">
        <f t="shared" si="36"/>
        <v>0.75</v>
      </c>
      <c r="R221" s="33">
        <f t="shared" si="37"/>
        <v>29.99</v>
      </c>
      <c r="S221" s="33" t="str">
        <f t="shared" si="38"/>
        <v>Small</v>
      </c>
      <c r="T221" s="33" t="str">
        <f t="shared" si="39"/>
        <v>High</v>
      </c>
    </row>
    <row r="222" spans="1:20" x14ac:dyDescent="0.3">
      <c r="A222" s="2" t="s">
        <v>418</v>
      </c>
      <c r="B222" s="2" t="s">
        <v>419</v>
      </c>
      <c r="C222" s="2" t="s">
        <v>28</v>
      </c>
      <c r="D222" s="2" t="s">
        <v>22</v>
      </c>
      <c r="E222" s="2" t="s">
        <v>99</v>
      </c>
      <c r="F222" s="2" t="s">
        <v>30</v>
      </c>
      <c r="G222" s="2">
        <v>27</v>
      </c>
      <c r="H222" s="3">
        <v>89.99</v>
      </c>
      <c r="I222" s="3">
        <f t="shared" si="30"/>
        <v>2429.73</v>
      </c>
      <c r="J222" s="4">
        <v>0</v>
      </c>
      <c r="K222" s="3">
        <f t="shared" si="31"/>
        <v>2429.73</v>
      </c>
      <c r="L222" s="2" t="s">
        <v>18</v>
      </c>
      <c r="M222" s="31">
        <f t="shared" si="32"/>
        <v>2429.73</v>
      </c>
      <c r="N222" s="33">
        <f t="shared" si="33"/>
        <v>2339.7400000000002</v>
      </c>
      <c r="O222" s="31" t="str">
        <f t="shared" si="34"/>
        <v>September</v>
      </c>
      <c r="P222" s="33">
        <f t="shared" si="35"/>
        <v>-2339.7400000000002</v>
      </c>
      <c r="Q222" s="33">
        <f t="shared" si="36"/>
        <v>0.96296296296296302</v>
      </c>
      <c r="R222" s="33">
        <f t="shared" si="37"/>
        <v>89.99</v>
      </c>
      <c r="S222" s="33" t="str">
        <f t="shared" si="38"/>
        <v>Large</v>
      </c>
      <c r="T222" s="33" t="str">
        <f t="shared" si="39"/>
        <v>Low</v>
      </c>
    </row>
    <row r="223" spans="1:20" x14ac:dyDescent="0.3">
      <c r="A223" s="14" t="s">
        <v>420</v>
      </c>
      <c r="B223" s="14" t="s">
        <v>419</v>
      </c>
      <c r="C223" s="14" t="s">
        <v>32</v>
      </c>
      <c r="D223" s="14" t="s">
        <v>33</v>
      </c>
      <c r="E223" s="14" t="s">
        <v>157</v>
      </c>
      <c r="F223" s="14" t="s">
        <v>17</v>
      </c>
      <c r="G223" s="14">
        <v>18</v>
      </c>
      <c r="H223" s="15">
        <v>449</v>
      </c>
      <c r="I223" s="15">
        <f t="shared" si="30"/>
        <v>8082</v>
      </c>
      <c r="J223" s="16">
        <v>8</v>
      </c>
      <c r="K223" s="15">
        <f t="shared" si="31"/>
        <v>7435.4400000000005</v>
      </c>
      <c r="L223" s="14" t="s">
        <v>132</v>
      </c>
      <c r="M223" s="31">
        <f t="shared" si="32"/>
        <v>8082</v>
      </c>
      <c r="N223" s="33">
        <f t="shared" si="33"/>
        <v>7633</v>
      </c>
      <c r="O223" s="31" t="str">
        <f t="shared" si="34"/>
        <v>September</v>
      </c>
      <c r="P223" s="33">
        <f t="shared" si="35"/>
        <v>-6986.4400000000005</v>
      </c>
      <c r="Q223" s="33">
        <f t="shared" si="36"/>
        <v>1.0265700483091786</v>
      </c>
      <c r="R223" s="33">
        <f t="shared" si="37"/>
        <v>413.08000000000004</v>
      </c>
      <c r="S223" s="33" t="str">
        <f t="shared" si="38"/>
        <v>Large</v>
      </c>
      <c r="T223" s="33" t="str">
        <f t="shared" si="39"/>
        <v>High</v>
      </c>
    </row>
    <row r="224" spans="1:20" x14ac:dyDescent="0.3">
      <c r="A224" s="2" t="s">
        <v>421</v>
      </c>
      <c r="B224" s="2" t="s">
        <v>422</v>
      </c>
      <c r="C224" s="2" t="s">
        <v>49</v>
      </c>
      <c r="D224" s="2" t="s">
        <v>38</v>
      </c>
      <c r="E224" s="2" t="s">
        <v>106</v>
      </c>
      <c r="F224" s="2" t="s">
        <v>17</v>
      </c>
      <c r="G224" s="2">
        <v>17</v>
      </c>
      <c r="H224" s="3">
        <v>199</v>
      </c>
      <c r="I224" s="3">
        <f t="shared" si="30"/>
        <v>3383</v>
      </c>
      <c r="J224" s="4">
        <v>8</v>
      </c>
      <c r="K224" s="3">
        <f t="shared" si="31"/>
        <v>3112.36</v>
      </c>
      <c r="L224" s="2" t="s">
        <v>18</v>
      </c>
      <c r="M224" s="31">
        <f t="shared" si="32"/>
        <v>3383</v>
      </c>
      <c r="N224" s="33">
        <f t="shared" si="33"/>
        <v>3184</v>
      </c>
      <c r="O224" s="31" t="str">
        <f t="shared" si="34"/>
        <v>September</v>
      </c>
      <c r="P224" s="33">
        <f t="shared" si="35"/>
        <v>-2913.36</v>
      </c>
      <c r="Q224" s="33">
        <f t="shared" si="36"/>
        <v>1.0230179028132993</v>
      </c>
      <c r="R224" s="33">
        <f t="shared" si="37"/>
        <v>183.08</v>
      </c>
      <c r="S224" s="33" t="str">
        <f t="shared" si="38"/>
        <v>Large</v>
      </c>
      <c r="T224" s="33" t="str">
        <f t="shared" si="39"/>
        <v>High</v>
      </c>
    </row>
    <row r="225" spans="1:20" x14ac:dyDescent="0.3">
      <c r="A225" s="8" t="s">
        <v>423</v>
      </c>
      <c r="B225" s="8" t="s">
        <v>422</v>
      </c>
      <c r="C225" s="8" t="s">
        <v>37</v>
      </c>
      <c r="D225" s="8" t="s">
        <v>38</v>
      </c>
      <c r="E225" s="8" t="s">
        <v>46</v>
      </c>
      <c r="F225" s="8" t="s">
        <v>30</v>
      </c>
      <c r="G225" s="8">
        <v>10</v>
      </c>
      <c r="H225" s="9">
        <v>59.99</v>
      </c>
      <c r="I225" s="9">
        <f t="shared" si="30"/>
        <v>599.9</v>
      </c>
      <c r="J225" s="10">
        <v>0</v>
      </c>
      <c r="K225" s="9">
        <f t="shared" si="31"/>
        <v>599.9</v>
      </c>
      <c r="L225" s="8" t="s">
        <v>72</v>
      </c>
      <c r="M225" s="31">
        <f t="shared" si="32"/>
        <v>599.9</v>
      </c>
      <c r="N225" s="33">
        <f t="shared" si="33"/>
        <v>539.91</v>
      </c>
      <c r="O225" s="31" t="str">
        <f t="shared" si="34"/>
        <v>September</v>
      </c>
      <c r="P225" s="33">
        <f t="shared" si="35"/>
        <v>-539.91</v>
      </c>
      <c r="Q225" s="33">
        <f t="shared" si="36"/>
        <v>0.9</v>
      </c>
      <c r="R225" s="33">
        <f t="shared" si="37"/>
        <v>59.989999999999995</v>
      </c>
      <c r="S225" s="33" t="str">
        <f t="shared" si="38"/>
        <v>Large</v>
      </c>
      <c r="T225" s="33" t="str">
        <f t="shared" si="39"/>
        <v>High</v>
      </c>
    </row>
    <row r="226" spans="1:20" x14ac:dyDescent="0.3">
      <c r="A226" s="2" t="s">
        <v>424</v>
      </c>
      <c r="B226" s="2" t="s">
        <v>425</v>
      </c>
      <c r="C226" s="2" t="s">
        <v>80</v>
      </c>
      <c r="D226" s="2" t="s">
        <v>22</v>
      </c>
      <c r="E226" s="2" t="s">
        <v>46</v>
      </c>
      <c r="F226" s="2" t="s">
        <v>30</v>
      </c>
      <c r="G226" s="2">
        <v>25</v>
      </c>
      <c r="H226" s="3">
        <v>59.99</v>
      </c>
      <c r="I226" s="3">
        <f t="shared" si="30"/>
        <v>1499.75</v>
      </c>
      <c r="J226" s="4">
        <v>0</v>
      </c>
      <c r="K226" s="3">
        <f t="shared" si="31"/>
        <v>1499.75</v>
      </c>
      <c r="L226" s="2" t="s">
        <v>18</v>
      </c>
      <c r="M226" s="31">
        <f t="shared" si="32"/>
        <v>1499.75</v>
      </c>
      <c r="N226" s="33">
        <f t="shared" si="33"/>
        <v>1439.76</v>
      </c>
      <c r="O226" s="31" t="str">
        <f t="shared" si="34"/>
        <v>September</v>
      </c>
      <c r="P226" s="33">
        <f t="shared" si="35"/>
        <v>-1439.76</v>
      </c>
      <c r="Q226" s="33">
        <f t="shared" si="36"/>
        <v>0.96</v>
      </c>
      <c r="R226" s="33">
        <f t="shared" si="37"/>
        <v>59.99</v>
      </c>
      <c r="S226" s="33" t="str">
        <f t="shared" si="38"/>
        <v>Large</v>
      </c>
      <c r="T226" s="33" t="str">
        <f t="shared" si="39"/>
        <v>Low</v>
      </c>
    </row>
    <row r="227" spans="1:20" x14ac:dyDescent="0.3">
      <c r="A227" s="5" t="s">
        <v>426</v>
      </c>
      <c r="B227" s="5" t="s">
        <v>425</v>
      </c>
      <c r="C227" s="5" t="s">
        <v>28</v>
      </c>
      <c r="D227" s="5" t="s">
        <v>22</v>
      </c>
      <c r="E227" s="5" t="s">
        <v>93</v>
      </c>
      <c r="F227" s="5" t="s">
        <v>24</v>
      </c>
      <c r="G227" s="5">
        <v>15</v>
      </c>
      <c r="H227" s="6">
        <v>599</v>
      </c>
      <c r="I227" s="6">
        <f t="shared" si="30"/>
        <v>8985</v>
      </c>
      <c r="J227" s="7">
        <v>8</v>
      </c>
      <c r="K227" s="6">
        <f t="shared" si="31"/>
        <v>8266.2000000000007</v>
      </c>
      <c r="L227" s="5" t="s">
        <v>18</v>
      </c>
      <c r="M227" s="31">
        <f t="shared" si="32"/>
        <v>8985</v>
      </c>
      <c r="N227" s="33">
        <f t="shared" si="33"/>
        <v>8386</v>
      </c>
      <c r="O227" s="31" t="str">
        <f t="shared" si="34"/>
        <v>September</v>
      </c>
      <c r="P227" s="33">
        <f t="shared" si="35"/>
        <v>-7667.2000000000007</v>
      </c>
      <c r="Q227" s="33">
        <f t="shared" si="36"/>
        <v>1.0144927536231882</v>
      </c>
      <c r="R227" s="33">
        <f t="shared" si="37"/>
        <v>551.08000000000004</v>
      </c>
      <c r="S227" s="33" t="str">
        <f t="shared" si="38"/>
        <v>Large</v>
      </c>
      <c r="T227" s="33" t="str">
        <f t="shared" si="39"/>
        <v>High</v>
      </c>
    </row>
    <row r="228" spans="1:20" x14ac:dyDescent="0.3">
      <c r="A228" s="2" t="s">
        <v>427</v>
      </c>
      <c r="B228" s="2" t="s">
        <v>428</v>
      </c>
      <c r="C228" s="2" t="s">
        <v>55</v>
      </c>
      <c r="D228" s="2" t="s">
        <v>38</v>
      </c>
      <c r="E228" s="2" t="s">
        <v>144</v>
      </c>
      <c r="F228" s="2" t="s">
        <v>30</v>
      </c>
      <c r="G228" s="2">
        <v>28</v>
      </c>
      <c r="H228" s="3">
        <v>79.989999999999995</v>
      </c>
      <c r="I228" s="3">
        <f t="shared" si="30"/>
        <v>2239.7199999999998</v>
      </c>
      <c r="J228" s="4">
        <v>8</v>
      </c>
      <c r="K228" s="3">
        <f t="shared" si="31"/>
        <v>2060.5423999999998</v>
      </c>
      <c r="L228" s="2" t="s">
        <v>18</v>
      </c>
      <c r="M228" s="31">
        <f t="shared" si="32"/>
        <v>2239.7199999999998</v>
      </c>
      <c r="N228" s="33">
        <f t="shared" si="33"/>
        <v>2159.73</v>
      </c>
      <c r="O228" s="31" t="str">
        <f t="shared" si="34"/>
        <v>September</v>
      </c>
      <c r="P228" s="33">
        <f t="shared" si="35"/>
        <v>-1980.5523999999998</v>
      </c>
      <c r="Q228" s="33">
        <f t="shared" si="36"/>
        <v>1.048136645962733</v>
      </c>
      <c r="R228" s="33">
        <f t="shared" si="37"/>
        <v>73.590799999999987</v>
      </c>
      <c r="S228" s="33" t="str">
        <f t="shared" si="38"/>
        <v>Large</v>
      </c>
      <c r="T228" s="33" t="str">
        <f t="shared" si="39"/>
        <v>High</v>
      </c>
    </row>
    <row r="229" spans="1:20" x14ac:dyDescent="0.3">
      <c r="A229" s="8" t="s">
        <v>429</v>
      </c>
      <c r="B229" s="8" t="s">
        <v>428</v>
      </c>
      <c r="C229" s="8" t="s">
        <v>80</v>
      </c>
      <c r="D229" s="8" t="s">
        <v>22</v>
      </c>
      <c r="E229" s="8" t="s">
        <v>93</v>
      </c>
      <c r="F229" s="8" t="s">
        <v>24</v>
      </c>
      <c r="G229" s="8">
        <v>14</v>
      </c>
      <c r="H229" s="9">
        <v>599</v>
      </c>
      <c r="I229" s="9">
        <f t="shared" si="30"/>
        <v>8386</v>
      </c>
      <c r="J229" s="10">
        <v>0</v>
      </c>
      <c r="K229" s="9">
        <f t="shared" si="31"/>
        <v>8386</v>
      </c>
      <c r="L229" s="8" t="s">
        <v>72</v>
      </c>
      <c r="M229" s="31">
        <f t="shared" si="32"/>
        <v>8386</v>
      </c>
      <c r="N229" s="33">
        <f t="shared" si="33"/>
        <v>7787</v>
      </c>
      <c r="O229" s="31" t="str">
        <f t="shared" si="34"/>
        <v>September</v>
      </c>
      <c r="P229" s="33">
        <f t="shared" si="35"/>
        <v>-7787</v>
      </c>
      <c r="Q229" s="33">
        <f t="shared" si="36"/>
        <v>0.9285714285714286</v>
      </c>
      <c r="R229" s="33">
        <f t="shared" si="37"/>
        <v>599</v>
      </c>
      <c r="S229" s="33" t="str">
        <f t="shared" si="38"/>
        <v>Large</v>
      </c>
      <c r="T229" s="33" t="str">
        <f t="shared" si="39"/>
        <v>High</v>
      </c>
    </row>
    <row r="230" spans="1:20" x14ac:dyDescent="0.3">
      <c r="A230" s="2" t="s">
        <v>430</v>
      </c>
      <c r="B230" s="2" t="s">
        <v>428</v>
      </c>
      <c r="C230" s="2" t="s">
        <v>28</v>
      </c>
      <c r="D230" s="2" t="s">
        <v>22</v>
      </c>
      <c r="E230" s="2" t="s">
        <v>46</v>
      </c>
      <c r="F230" s="2" t="s">
        <v>30</v>
      </c>
      <c r="G230" s="2">
        <v>18</v>
      </c>
      <c r="H230" s="3">
        <v>59.99</v>
      </c>
      <c r="I230" s="3">
        <f t="shared" si="30"/>
        <v>1079.82</v>
      </c>
      <c r="J230" s="4">
        <v>8</v>
      </c>
      <c r="K230" s="3">
        <f t="shared" si="31"/>
        <v>993.43439999999998</v>
      </c>
      <c r="L230" s="2" t="s">
        <v>18</v>
      </c>
      <c r="M230" s="31">
        <f t="shared" si="32"/>
        <v>1079.82</v>
      </c>
      <c r="N230" s="33">
        <f t="shared" si="33"/>
        <v>1019.8299999999999</v>
      </c>
      <c r="O230" s="31" t="str">
        <f t="shared" si="34"/>
        <v>September</v>
      </c>
      <c r="P230" s="33">
        <f t="shared" si="35"/>
        <v>-933.44439999999997</v>
      </c>
      <c r="Q230" s="33">
        <f t="shared" si="36"/>
        <v>1.0265700483091786</v>
      </c>
      <c r="R230" s="33">
        <f t="shared" si="37"/>
        <v>55.190799999999996</v>
      </c>
      <c r="S230" s="33" t="str">
        <f t="shared" si="38"/>
        <v>Large</v>
      </c>
      <c r="T230" s="33" t="str">
        <f t="shared" si="39"/>
        <v>High</v>
      </c>
    </row>
    <row r="231" spans="1:20" x14ac:dyDescent="0.3">
      <c r="A231" s="5" t="s">
        <v>431</v>
      </c>
      <c r="B231" s="5" t="s">
        <v>432</v>
      </c>
      <c r="C231" s="5" t="s">
        <v>28</v>
      </c>
      <c r="D231" s="5" t="s">
        <v>22</v>
      </c>
      <c r="E231" s="5" t="s">
        <v>29</v>
      </c>
      <c r="F231" s="5" t="s">
        <v>30</v>
      </c>
      <c r="G231" s="5">
        <v>21</v>
      </c>
      <c r="H231" s="6">
        <v>29.99</v>
      </c>
      <c r="I231" s="6">
        <f t="shared" si="30"/>
        <v>629.79</v>
      </c>
      <c r="J231" s="7">
        <v>0</v>
      </c>
      <c r="K231" s="6">
        <f t="shared" si="31"/>
        <v>629.79</v>
      </c>
      <c r="L231" s="5" t="s">
        <v>18</v>
      </c>
      <c r="M231" s="31">
        <f t="shared" si="32"/>
        <v>629.79</v>
      </c>
      <c r="N231" s="33">
        <f t="shared" si="33"/>
        <v>599.79999999999995</v>
      </c>
      <c r="O231" s="31" t="str">
        <f t="shared" si="34"/>
        <v>September</v>
      </c>
      <c r="P231" s="33">
        <f t="shared" si="35"/>
        <v>-599.79999999999995</v>
      </c>
      <c r="Q231" s="33">
        <f t="shared" si="36"/>
        <v>0.95238095238095233</v>
      </c>
      <c r="R231" s="33">
        <f t="shared" si="37"/>
        <v>29.99</v>
      </c>
      <c r="S231" s="33" t="str">
        <f t="shared" si="38"/>
        <v>Large</v>
      </c>
      <c r="T231" s="33" t="str">
        <f t="shared" si="39"/>
        <v>Low</v>
      </c>
    </row>
    <row r="232" spans="1:20" x14ac:dyDescent="0.3">
      <c r="A232" s="17" t="s">
        <v>433</v>
      </c>
      <c r="B232" s="17" t="s">
        <v>434</v>
      </c>
      <c r="C232" s="17" t="s">
        <v>80</v>
      </c>
      <c r="D232" s="17" t="s">
        <v>22</v>
      </c>
      <c r="E232" s="17" t="s">
        <v>77</v>
      </c>
      <c r="F232" s="17" t="s">
        <v>61</v>
      </c>
      <c r="G232" s="17">
        <v>24</v>
      </c>
      <c r="H232" s="18">
        <v>149</v>
      </c>
      <c r="I232" s="18">
        <f t="shared" si="30"/>
        <v>3576</v>
      </c>
      <c r="J232" s="19">
        <v>0</v>
      </c>
      <c r="K232" s="18">
        <f t="shared" si="31"/>
        <v>3576</v>
      </c>
      <c r="L232" s="17" t="s">
        <v>132</v>
      </c>
      <c r="M232" s="31">
        <f t="shared" si="32"/>
        <v>3576</v>
      </c>
      <c r="N232" s="33">
        <f t="shared" si="33"/>
        <v>3427</v>
      </c>
      <c r="O232" s="31" t="str">
        <f t="shared" si="34"/>
        <v>October</v>
      </c>
      <c r="P232" s="33">
        <f t="shared" si="35"/>
        <v>-3427</v>
      </c>
      <c r="Q232" s="33">
        <f t="shared" si="36"/>
        <v>0.95833333333333337</v>
      </c>
      <c r="R232" s="33">
        <f t="shared" si="37"/>
        <v>149</v>
      </c>
      <c r="S232" s="33" t="str">
        <f t="shared" si="38"/>
        <v>Large</v>
      </c>
      <c r="T232" s="33" t="str">
        <f t="shared" si="39"/>
        <v>Low</v>
      </c>
    </row>
    <row r="233" spans="1:20" x14ac:dyDescent="0.3">
      <c r="A233" s="5" t="s">
        <v>435</v>
      </c>
      <c r="B233" s="5" t="s">
        <v>434</v>
      </c>
      <c r="C233" s="5" t="s">
        <v>41</v>
      </c>
      <c r="D233" s="5" t="s">
        <v>15</v>
      </c>
      <c r="E233" s="5" t="s">
        <v>60</v>
      </c>
      <c r="F233" s="5" t="s">
        <v>61</v>
      </c>
      <c r="G233" s="5">
        <v>2</v>
      </c>
      <c r="H233" s="6">
        <v>49.99</v>
      </c>
      <c r="I233" s="6">
        <f t="shared" si="30"/>
        <v>99.98</v>
      </c>
      <c r="J233" s="7">
        <v>5</v>
      </c>
      <c r="K233" s="6">
        <f t="shared" si="31"/>
        <v>94.980999999999995</v>
      </c>
      <c r="L233" s="5" t="s">
        <v>18</v>
      </c>
      <c r="M233" s="31">
        <f t="shared" si="32"/>
        <v>99.98</v>
      </c>
      <c r="N233" s="33">
        <f t="shared" si="33"/>
        <v>49.99</v>
      </c>
      <c r="O233" s="31" t="str">
        <f t="shared" si="34"/>
        <v>October</v>
      </c>
      <c r="P233" s="33">
        <f t="shared" si="35"/>
        <v>-44.990999999999993</v>
      </c>
      <c r="Q233" s="33">
        <f t="shared" si="36"/>
        <v>0.52631578947368429</v>
      </c>
      <c r="R233" s="33">
        <f t="shared" si="37"/>
        <v>47.490499999999997</v>
      </c>
      <c r="S233" s="33" t="str">
        <f t="shared" si="38"/>
        <v>Small</v>
      </c>
      <c r="T233" s="33" t="str">
        <f t="shared" si="39"/>
        <v>High</v>
      </c>
    </row>
    <row r="234" spans="1:20" x14ac:dyDescent="0.3">
      <c r="A234" s="2" t="s">
        <v>436</v>
      </c>
      <c r="B234" s="2" t="s">
        <v>434</v>
      </c>
      <c r="C234" s="2" t="s">
        <v>21</v>
      </c>
      <c r="D234" s="2" t="s">
        <v>22</v>
      </c>
      <c r="E234" s="2" t="s">
        <v>46</v>
      </c>
      <c r="F234" s="2" t="s">
        <v>30</v>
      </c>
      <c r="G234" s="2">
        <v>30</v>
      </c>
      <c r="H234" s="3">
        <v>59.99</v>
      </c>
      <c r="I234" s="3">
        <f t="shared" si="30"/>
        <v>1799.7</v>
      </c>
      <c r="J234" s="4">
        <v>15</v>
      </c>
      <c r="K234" s="3">
        <f t="shared" si="31"/>
        <v>1529.7449999999999</v>
      </c>
      <c r="L234" s="2" t="s">
        <v>18</v>
      </c>
      <c r="M234" s="31">
        <f t="shared" si="32"/>
        <v>1799.7</v>
      </c>
      <c r="N234" s="33">
        <f t="shared" si="33"/>
        <v>1739.71</v>
      </c>
      <c r="O234" s="31" t="str">
        <f t="shared" si="34"/>
        <v>October</v>
      </c>
      <c r="P234" s="33">
        <f t="shared" si="35"/>
        <v>-1469.7549999999999</v>
      </c>
      <c r="Q234" s="33">
        <f t="shared" si="36"/>
        <v>1.1372549019607845</v>
      </c>
      <c r="R234" s="33">
        <f t="shared" si="37"/>
        <v>50.991499999999995</v>
      </c>
      <c r="S234" s="33" t="str">
        <f t="shared" si="38"/>
        <v>Large</v>
      </c>
      <c r="T234" s="33" t="str">
        <f t="shared" si="39"/>
        <v>Low</v>
      </c>
    </row>
    <row r="235" spans="1:20" x14ac:dyDescent="0.3">
      <c r="A235" s="5" t="s">
        <v>437</v>
      </c>
      <c r="B235" s="5" t="s">
        <v>434</v>
      </c>
      <c r="C235" s="5" t="s">
        <v>28</v>
      </c>
      <c r="D235" s="5" t="s">
        <v>22</v>
      </c>
      <c r="E235" s="5" t="s">
        <v>99</v>
      </c>
      <c r="F235" s="5" t="s">
        <v>30</v>
      </c>
      <c r="G235" s="5">
        <v>27</v>
      </c>
      <c r="H235" s="6">
        <v>89.99</v>
      </c>
      <c r="I235" s="6">
        <f t="shared" si="30"/>
        <v>2429.73</v>
      </c>
      <c r="J235" s="7">
        <v>8</v>
      </c>
      <c r="K235" s="6">
        <f t="shared" si="31"/>
        <v>2235.3516</v>
      </c>
      <c r="L235" s="5" t="s">
        <v>18</v>
      </c>
      <c r="M235" s="31">
        <f t="shared" si="32"/>
        <v>2429.73</v>
      </c>
      <c r="N235" s="33">
        <f t="shared" si="33"/>
        <v>2339.7400000000002</v>
      </c>
      <c r="O235" s="31" t="str">
        <f t="shared" si="34"/>
        <v>October</v>
      </c>
      <c r="P235" s="33">
        <f t="shared" si="35"/>
        <v>-2145.3616000000002</v>
      </c>
      <c r="Q235" s="33">
        <f t="shared" si="36"/>
        <v>1.0466988727858295</v>
      </c>
      <c r="R235" s="33">
        <f t="shared" si="37"/>
        <v>82.790800000000004</v>
      </c>
      <c r="S235" s="33" t="str">
        <f t="shared" si="38"/>
        <v>Large</v>
      </c>
      <c r="T235" s="33" t="str">
        <f t="shared" si="39"/>
        <v>High</v>
      </c>
    </row>
    <row r="236" spans="1:20" x14ac:dyDescent="0.3">
      <c r="A236" s="2" t="s">
        <v>438</v>
      </c>
      <c r="B236" s="2" t="s">
        <v>439</v>
      </c>
      <c r="C236" s="2" t="s">
        <v>55</v>
      </c>
      <c r="D236" s="2" t="s">
        <v>38</v>
      </c>
      <c r="E236" s="2" t="s">
        <v>29</v>
      </c>
      <c r="F236" s="2" t="s">
        <v>30</v>
      </c>
      <c r="G236" s="2">
        <v>22</v>
      </c>
      <c r="H236" s="3">
        <v>29.99</v>
      </c>
      <c r="I236" s="3">
        <f t="shared" si="30"/>
        <v>659.78</v>
      </c>
      <c r="J236" s="4">
        <v>0</v>
      </c>
      <c r="K236" s="3">
        <f t="shared" si="31"/>
        <v>659.78</v>
      </c>
      <c r="L236" s="2" t="s">
        <v>18</v>
      </c>
      <c r="M236" s="31">
        <f t="shared" si="32"/>
        <v>659.78</v>
      </c>
      <c r="N236" s="33">
        <f t="shared" si="33"/>
        <v>629.79</v>
      </c>
      <c r="O236" s="31" t="str">
        <f t="shared" si="34"/>
        <v>October</v>
      </c>
      <c r="P236" s="33">
        <f t="shared" si="35"/>
        <v>-629.79</v>
      </c>
      <c r="Q236" s="33">
        <f t="shared" si="36"/>
        <v>0.95454545454545447</v>
      </c>
      <c r="R236" s="33">
        <f t="shared" si="37"/>
        <v>29.99</v>
      </c>
      <c r="S236" s="33" t="str">
        <f t="shared" si="38"/>
        <v>Large</v>
      </c>
      <c r="T236" s="33" t="str">
        <f t="shared" si="39"/>
        <v>High</v>
      </c>
    </row>
    <row r="237" spans="1:20" x14ac:dyDescent="0.3">
      <c r="A237" s="8" t="s">
        <v>440</v>
      </c>
      <c r="B237" s="8" t="s">
        <v>441</v>
      </c>
      <c r="C237" s="8" t="s">
        <v>32</v>
      </c>
      <c r="D237" s="8" t="s">
        <v>33</v>
      </c>
      <c r="E237" s="8" t="s">
        <v>90</v>
      </c>
      <c r="F237" s="8" t="s">
        <v>24</v>
      </c>
      <c r="G237" s="8">
        <v>15</v>
      </c>
      <c r="H237" s="9">
        <v>149.99</v>
      </c>
      <c r="I237" s="9">
        <f t="shared" si="30"/>
        <v>2249.8500000000004</v>
      </c>
      <c r="J237" s="10">
        <v>10</v>
      </c>
      <c r="K237" s="9">
        <f t="shared" si="31"/>
        <v>2024.8650000000005</v>
      </c>
      <c r="L237" s="8" t="s">
        <v>72</v>
      </c>
      <c r="M237" s="31">
        <f t="shared" si="32"/>
        <v>2249.8500000000004</v>
      </c>
      <c r="N237" s="33">
        <f t="shared" si="33"/>
        <v>2099.8600000000006</v>
      </c>
      <c r="O237" s="31" t="str">
        <f t="shared" si="34"/>
        <v>October</v>
      </c>
      <c r="P237" s="33">
        <f t="shared" si="35"/>
        <v>-1874.8750000000005</v>
      </c>
      <c r="Q237" s="33">
        <f t="shared" si="36"/>
        <v>1.037037037037037</v>
      </c>
      <c r="R237" s="33">
        <f t="shared" si="37"/>
        <v>134.99100000000004</v>
      </c>
      <c r="S237" s="33" t="str">
        <f t="shared" si="38"/>
        <v>Large</v>
      </c>
      <c r="T237" s="33" t="str">
        <f t="shared" si="39"/>
        <v>Low</v>
      </c>
    </row>
    <row r="238" spans="1:20" x14ac:dyDescent="0.3">
      <c r="A238" s="2" t="s">
        <v>442</v>
      </c>
      <c r="B238" s="2" t="s">
        <v>443</v>
      </c>
      <c r="C238" s="2" t="s">
        <v>28</v>
      </c>
      <c r="D238" s="2" t="s">
        <v>22</v>
      </c>
      <c r="E238" s="2" t="s">
        <v>46</v>
      </c>
      <c r="F238" s="2" t="s">
        <v>30</v>
      </c>
      <c r="G238" s="2">
        <v>12</v>
      </c>
      <c r="H238" s="3">
        <v>59.99</v>
      </c>
      <c r="I238" s="3">
        <f t="shared" si="30"/>
        <v>719.88</v>
      </c>
      <c r="J238" s="4">
        <v>12</v>
      </c>
      <c r="K238" s="3">
        <f t="shared" si="31"/>
        <v>633.49440000000004</v>
      </c>
      <c r="L238" s="2" t="s">
        <v>18</v>
      </c>
      <c r="M238" s="31">
        <f t="shared" si="32"/>
        <v>719.88</v>
      </c>
      <c r="N238" s="33">
        <f t="shared" si="33"/>
        <v>659.89</v>
      </c>
      <c r="O238" s="31" t="str">
        <f t="shared" si="34"/>
        <v>October</v>
      </c>
      <c r="P238" s="33">
        <f t="shared" si="35"/>
        <v>-573.50440000000003</v>
      </c>
      <c r="Q238" s="33">
        <f t="shared" si="36"/>
        <v>1.0416666666666665</v>
      </c>
      <c r="R238" s="33">
        <f t="shared" si="37"/>
        <v>52.791200000000003</v>
      </c>
      <c r="S238" s="33" t="str">
        <f t="shared" si="38"/>
        <v>Large</v>
      </c>
      <c r="T238" s="33" t="str">
        <f t="shared" si="39"/>
        <v>High</v>
      </c>
    </row>
    <row r="239" spans="1:20" x14ac:dyDescent="0.3">
      <c r="A239" s="5" t="s">
        <v>444</v>
      </c>
      <c r="B239" s="5" t="s">
        <v>443</v>
      </c>
      <c r="C239" s="5" t="s">
        <v>32</v>
      </c>
      <c r="D239" s="5" t="s">
        <v>33</v>
      </c>
      <c r="E239" s="5" t="s">
        <v>87</v>
      </c>
      <c r="F239" s="5" t="s">
        <v>61</v>
      </c>
      <c r="G239" s="5">
        <v>29</v>
      </c>
      <c r="H239" s="6">
        <v>299</v>
      </c>
      <c r="I239" s="6">
        <f t="shared" si="30"/>
        <v>8671</v>
      </c>
      <c r="J239" s="7">
        <v>12</v>
      </c>
      <c r="K239" s="6">
        <f t="shared" si="31"/>
        <v>7630.4800000000005</v>
      </c>
      <c r="L239" s="5" t="s">
        <v>18</v>
      </c>
      <c r="M239" s="31">
        <f t="shared" si="32"/>
        <v>8671</v>
      </c>
      <c r="N239" s="33">
        <f t="shared" si="33"/>
        <v>8372</v>
      </c>
      <c r="O239" s="31" t="str">
        <f t="shared" si="34"/>
        <v>October</v>
      </c>
      <c r="P239" s="33">
        <f t="shared" si="35"/>
        <v>-7331.4800000000005</v>
      </c>
      <c r="Q239" s="33">
        <f t="shared" si="36"/>
        <v>1.0971786833855799</v>
      </c>
      <c r="R239" s="33">
        <f t="shared" si="37"/>
        <v>263.12</v>
      </c>
      <c r="S239" s="33" t="str">
        <f t="shared" si="38"/>
        <v>Large</v>
      </c>
      <c r="T239" s="33" t="str">
        <f t="shared" si="39"/>
        <v>Low</v>
      </c>
    </row>
    <row r="240" spans="1:20" x14ac:dyDescent="0.3">
      <c r="A240" s="2" t="s">
        <v>445</v>
      </c>
      <c r="B240" s="2" t="s">
        <v>446</v>
      </c>
      <c r="C240" s="2" t="s">
        <v>28</v>
      </c>
      <c r="D240" s="2" t="s">
        <v>22</v>
      </c>
      <c r="E240" s="2" t="s">
        <v>99</v>
      </c>
      <c r="F240" s="2" t="s">
        <v>30</v>
      </c>
      <c r="G240" s="2">
        <v>30</v>
      </c>
      <c r="H240" s="3">
        <v>89.99</v>
      </c>
      <c r="I240" s="3">
        <f t="shared" si="30"/>
        <v>2699.7</v>
      </c>
      <c r="J240" s="4">
        <v>15</v>
      </c>
      <c r="K240" s="3">
        <f t="shared" si="31"/>
        <v>2294.7449999999999</v>
      </c>
      <c r="L240" s="2" t="s">
        <v>18</v>
      </c>
      <c r="M240" s="31">
        <f t="shared" si="32"/>
        <v>2699.7</v>
      </c>
      <c r="N240" s="33">
        <f t="shared" si="33"/>
        <v>2609.71</v>
      </c>
      <c r="O240" s="31" t="str">
        <f t="shared" si="34"/>
        <v>October</v>
      </c>
      <c r="P240" s="33">
        <f t="shared" si="35"/>
        <v>-2204.7550000000001</v>
      </c>
      <c r="Q240" s="33">
        <f t="shared" si="36"/>
        <v>1.1372549019607845</v>
      </c>
      <c r="R240" s="33">
        <f t="shared" si="37"/>
        <v>76.491500000000002</v>
      </c>
      <c r="S240" s="33" t="str">
        <f t="shared" si="38"/>
        <v>Large</v>
      </c>
      <c r="T240" s="33" t="str">
        <f t="shared" si="39"/>
        <v>High</v>
      </c>
    </row>
    <row r="241" spans="1:20" x14ac:dyDescent="0.3">
      <c r="A241" s="5" t="s">
        <v>447</v>
      </c>
      <c r="B241" s="5" t="s">
        <v>448</v>
      </c>
      <c r="C241" s="5" t="s">
        <v>52</v>
      </c>
      <c r="D241" s="5" t="s">
        <v>33</v>
      </c>
      <c r="E241" s="5" t="s">
        <v>60</v>
      </c>
      <c r="F241" s="5" t="s">
        <v>61</v>
      </c>
      <c r="G241" s="5">
        <v>2</v>
      </c>
      <c r="H241" s="6">
        <v>49.99</v>
      </c>
      <c r="I241" s="6">
        <f t="shared" si="30"/>
        <v>99.98</v>
      </c>
      <c r="J241" s="7">
        <v>8</v>
      </c>
      <c r="K241" s="6">
        <f t="shared" si="31"/>
        <v>91.981600000000014</v>
      </c>
      <c r="L241" s="5" t="s">
        <v>18</v>
      </c>
      <c r="M241" s="31">
        <f t="shared" si="32"/>
        <v>99.98</v>
      </c>
      <c r="N241" s="33">
        <f t="shared" si="33"/>
        <v>49.99</v>
      </c>
      <c r="O241" s="31" t="str">
        <f t="shared" si="34"/>
        <v>October</v>
      </c>
      <c r="P241" s="33">
        <f t="shared" si="35"/>
        <v>-41.991600000000012</v>
      </c>
      <c r="Q241" s="33">
        <f t="shared" si="36"/>
        <v>0.54347826086956519</v>
      </c>
      <c r="R241" s="33">
        <f t="shared" si="37"/>
        <v>45.990800000000007</v>
      </c>
      <c r="S241" s="33" t="str">
        <f t="shared" si="38"/>
        <v>Small</v>
      </c>
      <c r="T241" s="33" t="str">
        <f t="shared" si="39"/>
        <v>High</v>
      </c>
    </row>
    <row r="242" spans="1:20" x14ac:dyDescent="0.3">
      <c r="A242" s="2" t="s">
        <v>449</v>
      </c>
      <c r="B242" s="2" t="s">
        <v>450</v>
      </c>
      <c r="C242" s="2" t="s">
        <v>80</v>
      </c>
      <c r="D242" s="2" t="s">
        <v>22</v>
      </c>
      <c r="E242" s="2" t="s">
        <v>87</v>
      </c>
      <c r="F242" s="2" t="s">
        <v>61</v>
      </c>
      <c r="G242" s="2">
        <v>18</v>
      </c>
      <c r="H242" s="3">
        <v>299</v>
      </c>
      <c r="I242" s="3">
        <f t="shared" si="30"/>
        <v>5382</v>
      </c>
      <c r="J242" s="4">
        <v>0</v>
      </c>
      <c r="K242" s="3">
        <f t="shared" si="31"/>
        <v>5382</v>
      </c>
      <c r="L242" s="2" t="s">
        <v>18</v>
      </c>
      <c r="M242" s="31">
        <f t="shared" si="32"/>
        <v>5382</v>
      </c>
      <c r="N242" s="33">
        <f t="shared" si="33"/>
        <v>5083</v>
      </c>
      <c r="O242" s="31" t="str">
        <f t="shared" si="34"/>
        <v>October</v>
      </c>
      <c r="P242" s="33">
        <f t="shared" si="35"/>
        <v>-5083</v>
      </c>
      <c r="Q242" s="33">
        <f t="shared" si="36"/>
        <v>0.94444444444444442</v>
      </c>
      <c r="R242" s="33">
        <f t="shared" si="37"/>
        <v>299</v>
      </c>
      <c r="S242" s="33" t="str">
        <f t="shared" si="38"/>
        <v>Large</v>
      </c>
      <c r="T242" s="33" t="str">
        <f t="shared" si="39"/>
        <v>Low</v>
      </c>
    </row>
    <row r="243" spans="1:20" x14ac:dyDescent="0.3">
      <c r="A243" s="5" t="s">
        <v>451</v>
      </c>
      <c r="B243" s="5" t="s">
        <v>452</v>
      </c>
      <c r="C243" s="5" t="s">
        <v>37</v>
      </c>
      <c r="D243" s="5" t="s">
        <v>38</v>
      </c>
      <c r="E243" s="5" t="s">
        <v>43</v>
      </c>
      <c r="F243" s="5" t="s">
        <v>24</v>
      </c>
      <c r="G243" s="5">
        <v>9</v>
      </c>
      <c r="H243" s="6">
        <v>399</v>
      </c>
      <c r="I243" s="6">
        <f t="shared" si="30"/>
        <v>3591</v>
      </c>
      <c r="J243" s="7">
        <v>5</v>
      </c>
      <c r="K243" s="6">
        <f t="shared" si="31"/>
        <v>3411.45</v>
      </c>
      <c r="L243" s="5" t="s">
        <v>18</v>
      </c>
      <c r="M243" s="31">
        <f t="shared" si="32"/>
        <v>3591</v>
      </c>
      <c r="N243" s="33">
        <f t="shared" si="33"/>
        <v>3192</v>
      </c>
      <c r="O243" s="31" t="str">
        <f t="shared" si="34"/>
        <v>October</v>
      </c>
      <c r="P243" s="33">
        <f t="shared" si="35"/>
        <v>-3012.45</v>
      </c>
      <c r="Q243" s="33">
        <f t="shared" si="36"/>
        <v>0.9356725146198831</v>
      </c>
      <c r="R243" s="33">
        <f t="shared" si="37"/>
        <v>379.04999999999995</v>
      </c>
      <c r="S243" s="33" t="str">
        <f t="shared" si="38"/>
        <v>Small</v>
      </c>
      <c r="T243" s="33" t="str">
        <f t="shared" si="39"/>
        <v>High</v>
      </c>
    </row>
    <row r="244" spans="1:20" x14ac:dyDescent="0.3">
      <c r="A244" s="2" t="s">
        <v>453</v>
      </c>
      <c r="B244" s="2" t="s">
        <v>454</v>
      </c>
      <c r="C244" s="2" t="s">
        <v>37</v>
      </c>
      <c r="D244" s="2" t="s">
        <v>38</v>
      </c>
      <c r="E244" s="2" t="s">
        <v>23</v>
      </c>
      <c r="F244" s="2" t="s">
        <v>24</v>
      </c>
      <c r="G244" s="2">
        <v>3</v>
      </c>
      <c r="H244" s="3">
        <v>999</v>
      </c>
      <c r="I244" s="3">
        <f t="shared" si="30"/>
        <v>2997</v>
      </c>
      <c r="J244" s="4">
        <v>10</v>
      </c>
      <c r="K244" s="3">
        <f t="shared" si="31"/>
        <v>2697.3</v>
      </c>
      <c r="L244" s="2" t="s">
        <v>18</v>
      </c>
      <c r="M244" s="31">
        <f t="shared" si="32"/>
        <v>2997</v>
      </c>
      <c r="N244" s="33">
        <f t="shared" si="33"/>
        <v>1998</v>
      </c>
      <c r="O244" s="31" t="str">
        <f t="shared" si="34"/>
        <v>October</v>
      </c>
      <c r="P244" s="33">
        <f t="shared" si="35"/>
        <v>-1698.3000000000002</v>
      </c>
      <c r="Q244" s="33">
        <f t="shared" si="36"/>
        <v>0.7407407407407407</v>
      </c>
      <c r="R244" s="33">
        <f t="shared" si="37"/>
        <v>899.1</v>
      </c>
      <c r="S244" s="33" t="str">
        <f t="shared" si="38"/>
        <v>Small</v>
      </c>
      <c r="T244" s="33" t="str">
        <f t="shared" si="39"/>
        <v>High</v>
      </c>
    </row>
    <row r="245" spans="1:20" x14ac:dyDescent="0.3">
      <c r="A245" s="5" t="s">
        <v>455</v>
      </c>
      <c r="B245" s="5" t="s">
        <v>456</v>
      </c>
      <c r="C245" s="5" t="s">
        <v>28</v>
      </c>
      <c r="D245" s="5" t="s">
        <v>22</v>
      </c>
      <c r="E245" s="5" t="s">
        <v>66</v>
      </c>
      <c r="F245" s="5" t="s">
        <v>17</v>
      </c>
      <c r="G245" s="5">
        <v>8</v>
      </c>
      <c r="H245" s="6">
        <v>549</v>
      </c>
      <c r="I245" s="6">
        <f t="shared" si="30"/>
        <v>4392</v>
      </c>
      <c r="J245" s="7">
        <v>12</v>
      </c>
      <c r="K245" s="6">
        <f t="shared" si="31"/>
        <v>3864.96</v>
      </c>
      <c r="L245" s="5" t="s">
        <v>18</v>
      </c>
      <c r="M245" s="31">
        <f t="shared" si="32"/>
        <v>4392</v>
      </c>
      <c r="N245" s="33">
        <f t="shared" si="33"/>
        <v>3843</v>
      </c>
      <c r="O245" s="31" t="str">
        <f t="shared" si="34"/>
        <v>October</v>
      </c>
      <c r="P245" s="33">
        <f t="shared" si="35"/>
        <v>-3315.96</v>
      </c>
      <c r="Q245" s="33">
        <f t="shared" si="36"/>
        <v>0.99431818181818177</v>
      </c>
      <c r="R245" s="33">
        <f t="shared" si="37"/>
        <v>483.12</v>
      </c>
      <c r="S245" s="33" t="str">
        <f t="shared" si="38"/>
        <v>Small</v>
      </c>
      <c r="T245" s="33" t="str">
        <f t="shared" si="39"/>
        <v>High</v>
      </c>
    </row>
    <row r="246" spans="1:20" x14ac:dyDescent="0.3">
      <c r="A246" s="2" t="s">
        <v>457</v>
      </c>
      <c r="B246" s="2" t="s">
        <v>456</v>
      </c>
      <c r="C246" s="2" t="s">
        <v>14</v>
      </c>
      <c r="D246" s="2" t="s">
        <v>15</v>
      </c>
      <c r="E246" s="2" t="s">
        <v>87</v>
      </c>
      <c r="F246" s="2" t="s">
        <v>61</v>
      </c>
      <c r="G246" s="2">
        <v>14</v>
      </c>
      <c r="H246" s="3">
        <v>299</v>
      </c>
      <c r="I246" s="3">
        <f t="shared" si="30"/>
        <v>4186</v>
      </c>
      <c r="J246" s="4">
        <v>8</v>
      </c>
      <c r="K246" s="3">
        <f t="shared" si="31"/>
        <v>3851.1200000000003</v>
      </c>
      <c r="L246" s="2" t="s">
        <v>18</v>
      </c>
      <c r="M246" s="31">
        <f t="shared" si="32"/>
        <v>4186</v>
      </c>
      <c r="N246" s="33">
        <f t="shared" si="33"/>
        <v>3887</v>
      </c>
      <c r="O246" s="31" t="str">
        <f t="shared" si="34"/>
        <v>October</v>
      </c>
      <c r="P246" s="33">
        <f t="shared" si="35"/>
        <v>-3552.1200000000003</v>
      </c>
      <c r="Q246" s="33">
        <f t="shared" si="36"/>
        <v>1.0093167701863353</v>
      </c>
      <c r="R246" s="33">
        <f t="shared" si="37"/>
        <v>275.08000000000004</v>
      </c>
      <c r="S246" s="33" t="str">
        <f t="shared" si="38"/>
        <v>Large</v>
      </c>
      <c r="T246" s="33" t="str">
        <f t="shared" si="39"/>
        <v>High</v>
      </c>
    </row>
    <row r="247" spans="1:20" x14ac:dyDescent="0.3">
      <c r="A247" s="14" t="s">
        <v>458</v>
      </c>
      <c r="B247" s="14" t="s">
        <v>456</v>
      </c>
      <c r="C247" s="14" t="s">
        <v>52</v>
      </c>
      <c r="D247" s="14" t="s">
        <v>33</v>
      </c>
      <c r="E247" s="14" t="s">
        <v>60</v>
      </c>
      <c r="F247" s="14" t="s">
        <v>61</v>
      </c>
      <c r="G247" s="14">
        <v>29</v>
      </c>
      <c r="H247" s="15">
        <v>49.99</v>
      </c>
      <c r="I247" s="15">
        <f t="shared" si="30"/>
        <v>1449.71</v>
      </c>
      <c r="J247" s="16">
        <v>10</v>
      </c>
      <c r="K247" s="15">
        <f t="shared" si="31"/>
        <v>1304.739</v>
      </c>
      <c r="L247" s="14" t="s">
        <v>132</v>
      </c>
      <c r="M247" s="31">
        <f t="shared" si="32"/>
        <v>1449.71</v>
      </c>
      <c r="N247" s="33">
        <f t="shared" si="33"/>
        <v>1399.72</v>
      </c>
      <c r="O247" s="31" t="str">
        <f t="shared" si="34"/>
        <v>October</v>
      </c>
      <c r="P247" s="33">
        <f t="shared" si="35"/>
        <v>-1254.749</v>
      </c>
      <c r="Q247" s="33">
        <f t="shared" si="36"/>
        <v>1.0727969348659003</v>
      </c>
      <c r="R247" s="33">
        <f t="shared" si="37"/>
        <v>44.991</v>
      </c>
      <c r="S247" s="33" t="str">
        <f t="shared" si="38"/>
        <v>Large</v>
      </c>
      <c r="T247" s="33" t="str">
        <f t="shared" si="39"/>
        <v>High</v>
      </c>
    </row>
    <row r="248" spans="1:20" x14ac:dyDescent="0.3">
      <c r="A248" s="2" t="s">
        <v>459</v>
      </c>
      <c r="B248" s="2" t="s">
        <v>460</v>
      </c>
      <c r="C248" s="2" t="s">
        <v>49</v>
      </c>
      <c r="D248" s="2" t="s">
        <v>38</v>
      </c>
      <c r="E248" s="2" t="s">
        <v>144</v>
      </c>
      <c r="F248" s="2" t="s">
        <v>30</v>
      </c>
      <c r="G248" s="2">
        <v>2</v>
      </c>
      <c r="H248" s="3">
        <v>79.989999999999995</v>
      </c>
      <c r="I248" s="3">
        <f t="shared" si="30"/>
        <v>159.97999999999999</v>
      </c>
      <c r="J248" s="4">
        <v>0</v>
      </c>
      <c r="K248" s="3">
        <f t="shared" si="31"/>
        <v>159.97999999999999</v>
      </c>
      <c r="L248" s="2" t="s">
        <v>18</v>
      </c>
      <c r="M248" s="31">
        <f t="shared" si="32"/>
        <v>159.97999999999999</v>
      </c>
      <c r="N248" s="33">
        <f t="shared" si="33"/>
        <v>79.989999999999995</v>
      </c>
      <c r="O248" s="31" t="str">
        <f t="shared" si="34"/>
        <v>October</v>
      </c>
      <c r="P248" s="33">
        <f t="shared" si="35"/>
        <v>-79.989999999999995</v>
      </c>
      <c r="Q248" s="33">
        <f t="shared" si="36"/>
        <v>0.5</v>
      </c>
      <c r="R248" s="33">
        <f t="shared" si="37"/>
        <v>79.989999999999995</v>
      </c>
      <c r="S248" s="33" t="str">
        <f t="shared" si="38"/>
        <v>Small</v>
      </c>
      <c r="T248" s="33" t="str">
        <f t="shared" si="39"/>
        <v>High</v>
      </c>
    </row>
    <row r="249" spans="1:20" x14ac:dyDescent="0.3">
      <c r="A249" s="5" t="s">
        <v>461</v>
      </c>
      <c r="B249" s="5" t="s">
        <v>462</v>
      </c>
      <c r="C249" s="5" t="s">
        <v>41</v>
      </c>
      <c r="D249" s="5" t="s">
        <v>15</v>
      </c>
      <c r="E249" s="5" t="s">
        <v>99</v>
      </c>
      <c r="F249" s="5" t="s">
        <v>30</v>
      </c>
      <c r="G249" s="5">
        <v>24</v>
      </c>
      <c r="H249" s="6">
        <v>89.99</v>
      </c>
      <c r="I249" s="6">
        <f t="shared" si="30"/>
        <v>2159.7599999999998</v>
      </c>
      <c r="J249" s="7">
        <v>15</v>
      </c>
      <c r="K249" s="6">
        <f t="shared" si="31"/>
        <v>1835.7959999999998</v>
      </c>
      <c r="L249" s="5" t="s">
        <v>18</v>
      </c>
      <c r="M249" s="31">
        <f t="shared" si="32"/>
        <v>2159.7599999999998</v>
      </c>
      <c r="N249" s="33">
        <f t="shared" si="33"/>
        <v>2069.77</v>
      </c>
      <c r="O249" s="31" t="str">
        <f t="shared" si="34"/>
        <v>October</v>
      </c>
      <c r="P249" s="33">
        <f t="shared" si="35"/>
        <v>-1745.8059999999998</v>
      </c>
      <c r="Q249" s="33">
        <f t="shared" si="36"/>
        <v>1.1274509803921569</v>
      </c>
      <c r="R249" s="33">
        <f t="shared" si="37"/>
        <v>76.491499999999988</v>
      </c>
      <c r="S249" s="33" t="str">
        <f t="shared" si="38"/>
        <v>Large</v>
      </c>
      <c r="T249" s="33" t="str">
        <f t="shared" si="39"/>
        <v>Low</v>
      </c>
    </row>
    <row r="250" spans="1:20" x14ac:dyDescent="0.3">
      <c r="A250" s="2" t="s">
        <v>463</v>
      </c>
      <c r="B250" s="2" t="s">
        <v>464</v>
      </c>
      <c r="C250" s="2" t="s">
        <v>32</v>
      </c>
      <c r="D250" s="2" t="s">
        <v>33</v>
      </c>
      <c r="E250" s="2" t="s">
        <v>99</v>
      </c>
      <c r="F250" s="2" t="s">
        <v>30</v>
      </c>
      <c r="G250" s="2">
        <v>15</v>
      </c>
      <c r="H250" s="3">
        <v>89.99</v>
      </c>
      <c r="I250" s="3">
        <f t="shared" si="30"/>
        <v>1349.85</v>
      </c>
      <c r="J250" s="4">
        <v>0</v>
      </c>
      <c r="K250" s="3">
        <f t="shared" si="31"/>
        <v>1349.85</v>
      </c>
      <c r="L250" s="2" t="s">
        <v>18</v>
      </c>
      <c r="M250" s="31">
        <f t="shared" si="32"/>
        <v>1349.85</v>
      </c>
      <c r="N250" s="33">
        <f t="shared" si="33"/>
        <v>1259.8599999999999</v>
      </c>
      <c r="O250" s="31" t="str">
        <f t="shared" si="34"/>
        <v>October</v>
      </c>
      <c r="P250" s="33">
        <f t="shared" si="35"/>
        <v>-1259.8599999999999</v>
      </c>
      <c r="Q250" s="33">
        <f t="shared" si="36"/>
        <v>0.93333333333333335</v>
      </c>
      <c r="R250" s="33">
        <f t="shared" si="37"/>
        <v>89.99</v>
      </c>
      <c r="S250" s="33" t="str">
        <f t="shared" si="38"/>
        <v>Large</v>
      </c>
      <c r="T250" s="33" t="str">
        <f t="shared" si="39"/>
        <v>High</v>
      </c>
    </row>
    <row r="251" spans="1:20" x14ac:dyDescent="0.3">
      <c r="A251" s="5" t="s">
        <v>465</v>
      </c>
      <c r="B251" s="5" t="s">
        <v>464</v>
      </c>
      <c r="C251" s="5" t="s">
        <v>49</v>
      </c>
      <c r="D251" s="5" t="s">
        <v>38</v>
      </c>
      <c r="E251" s="5" t="s">
        <v>82</v>
      </c>
      <c r="F251" s="5" t="s">
        <v>61</v>
      </c>
      <c r="G251" s="5">
        <v>22</v>
      </c>
      <c r="H251" s="6">
        <v>59.99</v>
      </c>
      <c r="I251" s="6">
        <f t="shared" si="30"/>
        <v>1319.78</v>
      </c>
      <c r="J251" s="7">
        <v>12</v>
      </c>
      <c r="K251" s="6">
        <f t="shared" si="31"/>
        <v>1161.4064000000001</v>
      </c>
      <c r="L251" s="5" t="s">
        <v>18</v>
      </c>
      <c r="M251" s="31">
        <f t="shared" si="32"/>
        <v>1319.78</v>
      </c>
      <c r="N251" s="33">
        <f t="shared" si="33"/>
        <v>1259.79</v>
      </c>
      <c r="O251" s="31" t="str">
        <f t="shared" si="34"/>
        <v>October</v>
      </c>
      <c r="P251" s="33">
        <f t="shared" si="35"/>
        <v>-1101.4164000000001</v>
      </c>
      <c r="Q251" s="33">
        <f t="shared" si="36"/>
        <v>1.0847107438016528</v>
      </c>
      <c r="R251" s="33">
        <f t="shared" si="37"/>
        <v>52.791200000000003</v>
      </c>
      <c r="S251" s="33" t="str">
        <f t="shared" si="38"/>
        <v>Large</v>
      </c>
      <c r="T251" s="33" t="str">
        <f t="shared" si="39"/>
        <v>High</v>
      </c>
    </row>
    <row r="252" spans="1:20" x14ac:dyDescent="0.3">
      <c r="A252" s="2" t="s">
        <v>466</v>
      </c>
      <c r="B252" s="2" t="s">
        <v>467</v>
      </c>
      <c r="C252" s="2" t="s">
        <v>52</v>
      </c>
      <c r="D252" s="2" t="s">
        <v>33</v>
      </c>
      <c r="E252" s="2" t="s">
        <v>147</v>
      </c>
      <c r="F252" s="2" t="s">
        <v>24</v>
      </c>
      <c r="G252" s="2">
        <v>5</v>
      </c>
      <c r="H252" s="3">
        <v>79.989999999999995</v>
      </c>
      <c r="I252" s="3">
        <f t="shared" si="30"/>
        <v>399.95</v>
      </c>
      <c r="J252" s="4">
        <v>0</v>
      </c>
      <c r="K252" s="3">
        <f t="shared" si="31"/>
        <v>399.95</v>
      </c>
      <c r="L252" s="2" t="s">
        <v>18</v>
      </c>
      <c r="M252" s="31">
        <f t="shared" si="32"/>
        <v>399.95</v>
      </c>
      <c r="N252" s="33">
        <f t="shared" si="33"/>
        <v>319.95999999999998</v>
      </c>
      <c r="O252" s="31" t="str">
        <f t="shared" si="34"/>
        <v>October</v>
      </c>
      <c r="P252" s="33">
        <f t="shared" si="35"/>
        <v>-319.95999999999998</v>
      </c>
      <c r="Q252" s="33">
        <f t="shared" si="36"/>
        <v>0.79999999999999993</v>
      </c>
      <c r="R252" s="33">
        <f t="shared" si="37"/>
        <v>79.989999999999995</v>
      </c>
      <c r="S252" s="33" t="str">
        <f t="shared" si="38"/>
        <v>Small</v>
      </c>
      <c r="T252" s="33" t="str">
        <f t="shared" si="39"/>
        <v>High</v>
      </c>
    </row>
    <row r="253" spans="1:20" x14ac:dyDescent="0.3">
      <c r="A253" s="5" t="s">
        <v>468</v>
      </c>
      <c r="B253" s="5" t="s">
        <v>467</v>
      </c>
      <c r="C253" s="5" t="s">
        <v>80</v>
      </c>
      <c r="D253" s="5" t="s">
        <v>22</v>
      </c>
      <c r="E253" s="5" t="s">
        <v>188</v>
      </c>
      <c r="F253" s="5" t="s">
        <v>17</v>
      </c>
      <c r="G253" s="5">
        <v>24</v>
      </c>
      <c r="H253" s="6">
        <v>39.99</v>
      </c>
      <c r="I253" s="6">
        <f t="shared" si="30"/>
        <v>959.76</v>
      </c>
      <c r="J253" s="7">
        <v>5</v>
      </c>
      <c r="K253" s="6">
        <f t="shared" si="31"/>
        <v>911.77199999999993</v>
      </c>
      <c r="L253" s="5" t="s">
        <v>18</v>
      </c>
      <c r="M253" s="31">
        <f t="shared" si="32"/>
        <v>959.76</v>
      </c>
      <c r="N253" s="33">
        <f t="shared" si="33"/>
        <v>919.77</v>
      </c>
      <c r="O253" s="31" t="str">
        <f t="shared" si="34"/>
        <v>October</v>
      </c>
      <c r="P253" s="33">
        <f t="shared" si="35"/>
        <v>-871.78199999999993</v>
      </c>
      <c r="Q253" s="33">
        <f t="shared" si="36"/>
        <v>1.0087719298245614</v>
      </c>
      <c r="R253" s="33">
        <f t="shared" si="37"/>
        <v>37.990499999999997</v>
      </c>
      <c r="S253" s="33" t="str">
        <f t="shared" si="38"/>
        <v>Large</v>
      </c>
      <c r="T253" s="33" t="str">
        <f t="shared" si="39"/>
        <v>Low</v>
      </c>
    </row>
    <row r="254" spans="1:20" x14ac:dyDescent="0.3">
      <c r="A254" s="11" t="s">
        <v>469</v>
      </c>
      <c r="B254" s="11" t="s">
        <v>470</v>
      </c>
      <c r="C254" s="11" t="s">
        <v>37</v>
      </c>
      <c r="D254" s="11" t="s">
        <v>38</v>
      </c>
      <c r="E254" s="11" t="s">
        <v>77</v>
      </c>
      <c r="F254" s="11" t="s">
        <v>61</v>
      </c>
      <c r="G254" s="11">
        <v>1</v>
      </c>
      <c r="H254" s="12">
        <v>149</v>
      </c>
      <c r="I254" s="12">
        <f t="shared" si="30"/>
        <v>149</v>
      </c>
      <c r="J254" s="13">
        <v>12</v>
      </c>
      <c r="K254" s="12">
        <f t="shared" si="31"/>
        <v>131.12</v>
      </c>
      <c r="L254" s="11" t="s">
        <v>72</v>
      </c>
      <c r="M254" s="31">
        <f t="shared" si="32"/>
        <v>149</v>
      </c>
      <c r="N254" s="33">
        <f t="shared" si="33"/>
        <v>0</v>
      </c>
      <c r="O254" s="31" t="str">
        <f t="shared" si="34"/>
        <v>October</v>
      </c>
      <c r="P254" s="33">
        <f t="shared" si="35"/>
        <v>17.879999999999995</v>
      </c>
      <c r="Q254" s="33">
        <f t="shared" si="36"/>
        <v>0</v>
      </c>
      <c r="R254" s="33">
        <f t="shared" si="37"/>
        <v>131.12</v>
      </c>
      <c r="S254" s="33" t="str">
        <f t="shared" si="38"/>
        <v>Small</v>
      </c>
      <c r="T254" s="33" t="str">
        <f t="shared" si="39"/>
        <v>Low</v>
      </c>
    </row>
    <row r="255" spans="1:20" x14ac:dyDescent="0.3">
      <c r="A255" s="5" t="s">
        <v>471</v>
      </c>
      <c r="B255" s="5" t="s">
        <v>470</v>
      </c>
      <c r="C255" s="5" t="s">
        <v>41</v>
      </c>
      <c r="D255" s="5" t="s">
        <v>15</v>
      </c>
      <c r="E255" s="5" t="s">
        <v>144</v>
      </c>
      <c r="F255" s="5" t="s">
        <v>30</v>
      </c>
      <c r="G255" s="5">
        <v>18</v>
      </c>
      <c r="H255" s="6">
        <v>79.989999999999995</v>
      </c>
      <c r="I255" s="6">
        <f t="shared" si="30"/>
        <v>1439.82</v>
      </c>
      <c r="J255" s="7">
        <v>5</v>
      </c>
      <c r="K255" s="6">
        <f t="shared" si="31"/>
        <v>1367.829</v>
      </c>
      <c r="L255" s="5" t="s">
        <v>18</v>
      </c>
      <c r="M255" s="31">
        <f t="shared" si="32"/>
        <v>1439.82</v>
      </c>
      <c r="N255" s="33">
        <f t="shared" si="33"/>
        <v>1359.83</v>
      </c>
      <c r="O255" s="31" t="str">
        <f t="shared" si="34"/>
        <v>October</v>
      </c>
      <c r="P255" s="33">
        <f t="shared" si="35"/>
        <v>-1287.8389999999999</v>
      </c>
      <c r="Q255" s="33">
        <f t="shared" si="36"/>
        <v>0.99415204678362568</v>
      </c>
      <c r="R255" s="33">
        <f t="shared" si="37"/>
        <v>75.990499999999997</v>
      </c>
      <c r="S255" s="33" t="str">
        <f t="shared" si="38"/>
        <v>Large</v>
      </c>
      <c r="T255" s="33" t="str">
        <f t="shared" si="39"/>
        <v>Low</v>
      </c>
    </row>
    <row r="256" spans="1:20" x14ac:dyDescent="0.3">
      <c r="A256" s="2" t="s">
        <v>472</v>
      </c>
      <c r="B256" s="2" t="s">
        <v>470</v>
      </c>
      <c r="C256" s="2" t="s">
        <v>41</v>
      </c>
      <c r="D256" s="2" t="s">
        <v>15</v>
      </c>
      <c r="E256" s="2" t="s">
        <v>157</v>
      </c>
      <c r="F256" s="2" t="s">
        <v>17</v>
      </c>
      <c r="G256" s="2">
        <v>21</v>
      </c>
      <c r="H256" s="3">
        <v>449</v>
      </c>
      <c r="I256" s="3">
        <f t="shared" si="30"/>
        <v>9429</v>
      </c>
      <c r="J256" s="4">
        <v>5</v>
      </c>
      <c r="K256" s="3">
        <f t="shared" si="31"/>
        <v>8957.5499999999993</v>
      </c>
      <c r="L256" s="2" t="s">
        <v>18</v>
      </c>
      <c r="M256" s="31">
        <f t="shared" si="32"/>
        <v>9429</v>
      </c>
      <c r="N256" s="33">
        <f t="shared" si="33"/>
        <v>8980</v>
      </c>
      <c r="O256" s="31" t="str">
        <f t="shared" si="34"/>
        <v>October</v>
      </c>
      <c r="P256" s="33">
        <f t="shared" si="35"/>
        <v>-8508.5499999999993</v>
      </c>
      <c r="Q256" s="33">
        <f t="shared" si="36"/>
        <v>1.0025062656641606</v>
      </c>
      <c r="R256" s="33">
        <f t="shared" si="37"/>
        <v>426.54999999999995</v>
      </c>
      <c r="S256" s="33" t="str">
        <f t="shared" si="38"/>
        <v>Large</v>
      </c>
      <c r="T256" s="33" t="str">
        <f t="shared" si="39"/>
        <v>High</v>
      </c>
    </row>
    <row r="257" spans="1:20" x14ac:dyDescent="0.3">
      <c r="A257" s="5" t="s">
        <v>473</v>
      </c>
      <c r="B257" s="5" t="s">
        <v>474</v>
      </c>
      <c r="C257" s="5" t="s">
        <v>55</v>
      </c>
      <c r="D257" s="5" t="s">
        <v>38</v>
      </c>
      <c r="E257" s="5" t="s">
        <v>23</v>
      </c>
      <c r="F257" s="5" t="s">
        <v>24</v>
      </c>
      <c r="G257" s="5">
        <v>6</v>
      </c>
      <c r="H257" s="6">
        <v>999</v>
      </c>
      <c r="I257" s="6">
        <f t="shared" si="30"/>
        <v>5994</v>
      </c>
      <c r="J257" s="7">
        <v>5</v>
      </c>
      <c r="K257" s="6">
        <f t="shared" si="31"/>
        <v>5694.3</v>
      </c>
      <c r="L257" s="5" t="s">
        <v>18</v>
      </c>
      <c r="M257" s="31">
        <f t="shared" si="32"/>
        <v>5994</v>
      </c>
      <c r="N257" s="33">
        <f t="shared" si="33"/>
        <v>4995</v>
      </c>
      <c r="O257" s="31" t="str">
        <f t="shared" si="34"/>
        <v>October</v>
      </c>
      <c r="P257" s="33">
        <f t="shared" si="35"/>
        <v>-4695.3</v>
      </c>
      <c r="Q257" s="33">
        <f t="shared" si="36"/>
        <v>0.8771929824561403</v>
      </c>
      <c r="R257" s="33">
        <f t="shared" si="37"/>
        <v>949.05000000000007</v>
      </c>
      <c r="S257" s="33" t="str">
        <f t="shared" si="38"/>
        <v>Small</v>
      </c>
      <c r="T257" s="33" t="str">
        <f t="shared" si="39"/>
        <v>High</v>
      </c>
    </row>
    <row r="258" spans="1:20" x14ac:dyDescent="0.3">
      <c r="A258" s="2" t="s">
        <v>475</v>
      </c>
      <c r="B258" s="2" t="s">
        <v>476</v>
      </c>
      <c r="C258" s="2" t="s">
        <v>55</v>
      </c>
      <c r="D258" s="2" t="s">
        <v>38</v>
      </c>
      <c r="E258" s="2" t="s">
        <v>23</v>
      </c>
      <c r="F258" s="2" t="s">
        <v>24</v>
      </c>
      <c r="G258" s="2">
        <v>22</v>
      </c>
      <c r="H258" s="3">
        <v>999</v>
      </c>
      <c r="I258" s="3">
        <f t="shared" ref="I258:I321" si="40">H258*G258</f>
        <v>21978</v>
      </c>
      <c r="J258" s="4">
        <v>5</v>
      </c>
      <c r="K258" s="3">
        <f t="shared" ref="K258:K321" si="41">I258*(1-J258/100)</f>
        <v>20879.099999999999</v>
      </c>
      <c r="L258" s="2" t="s">
        <v>18</v>
      </c>
      <c r="M258" s="31">
        <f t="shared" si="32"/>
        <v>21978</v>
      </c>
      <c r="N258" s="33">
        <f t="shared" si="33"/>
        <v>20979</v>
      </c>
      <c r="O258" s="31" t="str">
        <f t="shared" si="34"/>
        <v>October</v>
      </c>
      <c r="P258" s="33">
        <f t="shared" si="35"/>
        <v>-19880.099999999999</v>
      </c>
      <c r="Q258" s="33">
        <f t="shared" si="36"/>
        <v>1.0047846889952154</v>
      </c>
      <c r="R258" s="33">
        <f t="shared" si="37"/>
        <v>949.05</v>
      </c>
      <c r="S258" s="33" t="str">
        <f t="shared" si="38"/>
        <v>Large</v>
      </c>
      <c r="T258" s="33" t="str">
        <f t="shared" si="39"/>
        <v>High</v>
      </c>
    </row>
    <row r="259" spans="1:20" x14ac:dyDescent="0.3">
      <c r="A259" s="5" t="s">
        <v>477</v>
      </c>
      <c r="B259" s="5" t="s">
        <v>476</v>
      </c>
      <c r="C259" s="5" t="s">
        <v>21</v>
      </c>
      <c r="D259" s="5" t="s">
        <v>22</v>
      </c>
      <c r="E259" s="5" t="s">
        <v>87</v>
      </c>
      <c r="F259" s="5" t="s">
        <v>61</v>
      </c>
      <c r="G259" s="5">
        <v>21</v>
      </c>
      <c r="H259" s="6">
        <v>299</v>
      </c>
      <c r="I259" s="6">
        <f t="shared" si="40"/>
        <v>6279</v>
      </c>
      <c r="J259" s="7">
        <v>10</v>
      </c>
      <c r="K259" s="6">
        <f t="shared" si="41"/>
        <v>5651.1</v>
      </c>
      <c r="L259" s="5" t="s">
        <v>18</v>
      </c>
      <c r="M259" s="31">
        <f t="shared" ref="M259:M322" si="42">G259*H259</f>
        <v>6279</v>
      </c>
      <c r="N259" s="33">
        <f t="shared" ref="N259:N322" si="43">M259-H259</f>
        <v>5980</v>
      </c>
      <c r="O259" s="31" t="str">
        <f t="shared" ref="O259:O322" si="44">TEXT(B259,"MMMM")</f>
        <v>October</v>
      </c>
      <c r="P259" s="33">
        <f t="shared" ref="P259:P322" si="45">H259-K259</f>
        <v>-5352.1</v>
      </c>
      <c r="Q259" s="33">
        <f t="shared" ref="Q259:Q322" si="46">N259/K259</f>
        <v>1.0582010582010581</v>
      </c>
      <c r="R259" s="33">
        <f t="shared" ref="R259:R322" si="47">K259/G259</f>
        <v>269.10000000000002</v>
      </c>
      <c r="S259" s="33" t="str">
        <f t="shared" ref="S259:S322" si="48">IF(G259&gt;=10,"Large","Small")</f>
        <v>Large</v>
      </c>
      <c r="T259" s="33" t="str">
        <f t="shared" ref="T259:T322" si="49">IF(K258&gt;1000,"High","Low")</f>
        <v>High</v>
      </c>
    </row>
    <row r="260" spans="1:20" x14ac:dyDescent="0.3">
      <c r="A260" s="2" t="s">
        <v>478</v>
      </c>
      <c r="B260" s="2" t="s">
        <v>479</v>
      </c>
      <c r="C260" s="2" t="s">
        <v>52</v>
      </c>
      <c r="D260" s="2" t="s">
        <v>33</v>
      </c>
      <c r="E260" s="2" t="s">
        <v>77</v>
      </c>
      <c r="F260" s="2" t="s">
        <v>61</v>
      </c>
      <c r="G260" s="2">
        <v>12</v>
      </c>
      <c r="H260" s="3">
        <v>149</v>
      </c>
      <c r="I260" s="3">
        <f t="shared" si="40"/>
        <v>1788</v>
      </c>
      <c r="J260" s="4">
        <v>0</v>
      </c>
      <c r="K260" s="3">
        <f t="shared" si="41"/>
        <v>1788</v>
      </c>
      <c r="L260" s="2" t="s">
        <v>18</v>
      </c>
      <c r="M260" s="31">
        <f t="shared" si="42"/>
        <v>1788</v>
      </c>
      <c r="N260" s="33">
        <f t="shared" si="43"/>
        <v>1639</v>
      </c>
      <c r="O260" s="31" t="str">
        <f t="shared" si="44"/>
        <v>October</v>
      </c>
      <c r="P260" s="33">
        <f t="shared" si="45"/>
        <v>-1639</v>
      </c>
      <c r="Q260" s="33">
        <f t="shared" si="46"/>
        <v>0.91666666666666663</v>
      </c>
      <c r="R260" s="33">
        <f t="shared" si="47"/>
        <v>149</v>
      </c>
      <c r="S260" s="33" t="str">
        <f t="shared" si="48"/>
        <v>Large</v>
      </c>
      <c r="T260" s="33" t="str">
        <f t="shared" si="49"/>
        <v>High</v>
      </c>
    </row>
    <row r="261" spans="1:20" x14ac:dyDescent="0.3">
      <c r="A261" s="5" t="s">
        <v>480</v>
      </c>
      <c r="B261" s="5" t="s">
        <v>481</v>
      </c>
      <c r="C261" s="5" t="s">
        <v>41</v>
      </c>
      <c r="D261" s="5" t="s">
        <v>15</v>
      </c>
      <c r="E261" s="5" t="s">
        <v>87</v>
      </c>
      <c r="F261" s="5" t="s">
        <v>61</v>
      </c>
      <c r="G261" s="5">
        <v>20</v>
      </c>
      <c r="H261" s="6">
        <v>299</v>
      </c>
      <c r="I261" s="6">
        <f t="shared" si="40"/>
        <v>5980</v>
      </c>
      <c r="J261" s="7">
        <v>12</v>
      </c>
      <c r="K261" s="6">
        <f t="shared" si="41"/>
        <v>5262.4</v>
      </c>
      <c r="L261" s="5" t="s">
        <v>18</v>
      </c>
      <c r="M261" s="31">
        <f t="shared" si="42"/>
        <v>5980</v>
      </c>
      <c r="N261" s="33">
        <f t="shared" si="43"/>
        <v>5681</v>
      </c>
      <c r="O261" s="31" t="str">
        <f t="shared" si="44"/>
        <v>October</v>
      </c>
      <c r="P261" s="33">
        <f t="shared" si="45"/>
        <v>-4963.3999999999996</v>
      </c>
      <c r="Q261" s="33">
        <f t="shared" si="46"/>
        <v>1.0795454545454546</v>
      </c>
      <c r="R261" s="33">
        <f t="shared" si="47"/>
        <v>263.12</v>
      </c>
      <c r="S261" s="33" t="str">
        <f t="shared" si="48"/>
        <v>Large</v>
      </c>
      <c r="T261" s="33" t="str">
        <f t="shared" si="49"/>
        <v>High</v>
      </c>
    </row>
    <row r="262" spans="1:20" x14ac:dyDescent="0.3">
      <c r="A262" s="2" t="s">
        <v>482</v>
      </c>
      <c r="B262" s="2" t="s">
        <v>483</v>
      </c>
      <c r="C262" s="2" t="s">
        <v>21</v>
      </c>
      <c r="D262" s="2" t="s">
        <v>22</v>
      </c>
      <c r="E262" s="2" t="s">
        <v>106</v>
      </c>
      <c r="F262" s="2" t="s">
        <v>17</v>
      </c>
      <c r="G262" s="2">
        <v>12</v>
      </c>
      <c r="H262" s="3">
        <v>199</v>
      </c>
      <c r="I262" s="3">
        <f t="shared" si="40"/>
        <v>2388</v>
      </c>
      <c r="J262" s="4">
        <v>5</v>
      </c>
      <c r="K262" s="3">
        <f t="shared" si="41"/>
        <v>2268.6</v>
      </c>
      <c r="L262" s="2" t="s">
        <v>18</v>
      </c>
      <c r="M262" s="31">
        <f t="shared" si="42"/>
        <v>2388</v>
      </c>
      <c r="N262" s="33">
        <f t="shared" si="43"/>
        <v>2189</v>
      </c>
      <c r="O262" s="31" t="str">
        <f t="shared" si="44"/>
        <v>October</v>
      </c>
      <c r="P262" s="33">
        <f t="shared" si="45"/>
        <v>-2069.6</v>
      </c>
      <c r="Q262" s="33">
        <f t="shared" si="46"/>
        <v>0.96491228070175439</v>
      </c>
      <c r="R262" s="33">
        <f t="shared" si="47"/>
        <v>189.04999999999998</v>
      </c>
      <c r="S262" s="33" t="str">
        <f t="shared" si="48"/>
        <v>Large</v>
      </c>
      <c r="T262" s="33" t="str">
        <f t="shared" si="49"/>
        <v>High</v>
      </c>
    </row>
    <row r="263" spans="1:20" x14ac:dyDescent="0.3">
      <c r="A263" s="5" t="s">
        <v>484</v>
      </c>
      <c r="B263" s="5" t="s">
        <v>483</v>
      </c>
      <c r="C263" s="5" t="s">
        <v>52</v>
      </c>
      <c r="D263" s="5" t="s">
        <v>33</v>
      </c>
      <c r="E263" s="5" t="s">
        <v>103</v>
      </c>
      <c r="F263" s="5" t="s">
        <v>61</v>
      </c>
      <c r="G263" s="5">
        <v>5</v>
      </c>
      <c r="H263" s="6">
        <v>99</v>
      </c>
      <c r="I263" s="6">
        <f t="shared" si="40"/>
        <v>495</v>
      </c>
      <c r="J263" s="7">
        <v>0</v>
      </c>
      <c r="K263" s="6">
        <f t="shared" si="41"/>
        <v>495</v>
      </c>
      <c r="L263" s="5" t="s">
        <v>18</v>
      </c>
      <c r="M263" s="31">
        <f t="shared" si="42"/>
        <v>495</v>
      </c>
      <c r="N263" s="33">
        <f t="shared" si="43"/>
        <v>396</v>
      </c>
      <c r="O263" s="31" t="str">
        <f t="shared" si="44"/>
        <v>October</v>
      </c>
      <c r="P263" s="33">
        <f t="shared" si="45"/>
        <v>-396</v>
      </c>
      <c r="Q263" s="33">
        <f t="shared" si="46"/>
        <v>0.8</v>
      </c>
      <c r="R263" s="33">
        <f t="shared" si="47"/>
        <v>99</v>
      </c>
      <c r="S263" s="33" t="str">
        <f t="shared" si="48"/>
        <v>Small</v>
      </c>
      <c r="T263" s="33" t="str">
        <f t="shared" si="49"/>
        <v>High</v>
      </c>
    </row>
    <row r="264" spans="1:20" x14ac:dyDescent="0.3">
      <c r="A264" s="11" t="s">
        <v>485</v>
      </c>
      <c r="B264" s="11" t="s">
        <v>486</v>
      </c>
      <c r="C264" s="11" t="s">
        <v>14</v>
      </c>
      <c r="D264" s="11" t="s">
        <v>15</v>
      </c>
      <c r="E264" s="11" t="s">
        <v>188</v>
      </c>
      <c r="F264" s="11" t="s">
        <v>17</v>
      </c>
      <c r="G264" s="11">
        <v>30</v>
      </c>
      <c r="H264" s="12">
        <v>39.99</v>
      </c>
      <c r="I264" s="12">
        <f t="shared" si="40"/>
        <v>1199.7</v>
      </c>
      <c r="J264" s="13">
        <v>0</v>
      </c>
      <c r="K264" s="12">
        <f t="shared" si="41"/>
        <v>1199.7</v>
      </c>
      <c r="L264" s="11" t="s">
        <v>72</v>
      </c>
      <c r="M264" s="31">
        <f t="shared" si="42"/>
        <v>1199.7</v>
      </c>
      <c r="N264" s="33">
        <f t="shared" si="43"/>
        <v>1159.71</v>
      </c>
      <c r="O264" s="31" t="str">
        <f t="shared" si="44"/>
        <v>November</v>
      </c>
      <c r="P264" s="33">
        <f t="shared" si="45"/>
        <v>-1159.71</v>
      </c>
      <c r="Q264" s="33">
        <f t="shared" si="46"/>
        <v>0.96666666666666667</v>
      </c>
      <c r="R264" s="33">
        <f t="shared" si="47"/>
        <v>39.99</v>
      </c>
      <c r="S264" s="33" t="str">
        <f t="shared" si="48"/>
        <v>Large</v>
      </c>
      <c r="T264" s="33" t="str">
        <f t="shared" si="49"/>
        <v>Low</v>
      </c>
    </row>
    <row r="265" spans="1:20" x14ac:dyDescent="0.3">
      <c r="A265" s="5" t="s">
        <v>487</v>
      </c>
      <c r="B265" s="5" t="s">
        <v>486</v>
      </c>
      <c r="C265" s="5" t="s">
        <v>41</v>
      </c>
      <c r="D265" s="5" t="s">
        <v>15</v>
      </c>
      <c r="E265" s="5" t="s">
        <v>71</v>
      </c>
      <c r="F265" s="5" t="s">
        <v>24</v>
      </c>
      <c r="G265" s="5">
        <v>8</v>
      </c>
      <c r="H265" s="6">
        <v>249</v>
      </c>
      <c r="I265" s="6">
        <f t="shared" si="40"/>
        <v>1992</v>
      </c>
      <c r="J265" s="7">
        <v>5</v>
      </c>
      <c r="K265" s="6">
        <f t="shared" si="41"/>
        <v>1892.3999999999999</v>
      </c>
      <c r="L265" s="5" t="s">
        <v>18</v>
      </c>
      <c r="M265" s="31">
        <f t="shared" si="42"/>
        <v>1992</v>
      </c>
      <c r="N265" s="33">
        <f t="shared" si="43"/>
        <v>1743</v>
      </c>
      <c r="O265" s="31" t="str">
        <f t="shared" si="44"/>
        <v>November</v>
      </c>
      <c r="P265" s="33">
        <f t="shared" si="45"/>
        <v>-1643.3999999999999</v>
      </c>
      <c r="Q265" s="33">
        <f t="shared" si="46"/>
        <v>0.92105263157894746</v>
      </c>
      <c r="R265" s="33">
        <f t="shared" si="47"/>
        <v>236.54999999999998</v>
      </c>
      <c r="S265" s="33" t="str">
        <f t="shared" si="48"/>
        <v>Small</v>
      </c>
      <c r="T265" s="33" t="str">
        <f t="shared" si="49"/>
        <v>High</v>
      </c>
    </row>
    <row r="266" spans="1:20" x14ac:dyDescent="0.3">
      <c r="A266" s="11" t="s">
        <v>488</v>
      </c>
      <c r="B266" s="11" t="s">
        <v>489</v>
      </c>
      <c r="C266" s="11" t="s">
        <v>28</v>
      </c>
      <c r="D266" s="11" t="s">
        <v>22</v>
      </c>
      <c r="E266" s="11" t="s">
        <v>64</v>
      </c>
      <c r="F266" s="11" t="s">
        <v>24</v>
      </c>
      <c r="G266" s="11">
        <v>22</v>
      </c>
      <c r="H266" s="12">
        <v>1299</v>
      </c>
      <c r="I266" s="12">
        <f t="shared" si="40"/>
        <v>28578</v>
      </c>
      <c r="J266" s="13">
        <v>15</v>
      </c>
      <c r="K266" s="12">
        <f t="shared" si="41"/>
        <v>24291.3</v>
      </c>
      <c r="L266" s="11" t="s">
        <v>72</v>
      </c>
      <c r="M266" s="31">
        <f t="shared" si="42"/>
        <v>28578</v>
      </c>
      <c r="N266" s="33">
        <f t="shared" si="43"/>
        <v>27279</v>
      </c>
      <c r="O266" s="31" t="str">
        <f t="shared" si="44"/>
        <v>November</v>
      </c>
      <c r="P266" s="33">
        <f t="shared" si="45"/>
        <v>-22992.3</v>
      </c>
      <c r="Q266" s="33">
        <f t="shared" si="46"/>
        <v>1.1229946524064172</v>
      </c>
      <c r="R266" s="33">
        <f t="shared" si="47"/>
        <v>1104.1499999999999</v>
      </c>
      <c r="S266" s="33" t="str">
        <f t="shared" si="48"/>
        <v>Large</v>
      </c>
      <c r="T266" s="33" t="str">
        <f t="shared" si="49"/>
        <v>High</v>
      </c>
    </row>
    <row r="267" spans="1:20" x14ac:dyDescent="0.3">
      <c r="A267" s="5" t="s">
        <v>490</v>
      </c>
      <c r="B267" s="5" t="s">
        <v>489</v>
      </c>
      <c r="C267" s="5" t="s">
        <v>49</v>
      </c>
      <c r="D267" s="5" t="s">
        <v>38</v>
      </c>
      <c r="E267" s="5" t="s">
        <v>46</v>
      </c>
      <c r="F267" s="5" t="s">
        <v>30</v>
      </c>
      <c r="G267" s="5">
        <v>6</v>
      </c>
      <c r="H267" s="6">
        <v>59.99</v>
      </c>
      <c r="I267" s="6">
        <f t="shared" si="40"/>
        <v>359.94</v>
      </c>
      <c r="J267" s="7">
        <v>10</v>
      </c>
      <c r="K267" s="6">
        <f t="shared" si="41"/>
        <v>323.94600000000003</v>
      </c>
      <c r="L267" s="5" t="s">
        <v>18</v>
      </c>
      <c r="M267" s="31">
        <f t="shared" si="42"/>
        <v>359.94</v>
      </c>
      <c r="N267" s="33">
        <f t="shared" si="43"/>
        <v>299.95</v>
      </c>
      <c r="O267" s="31" t="str">
        <f t="shared" si="44"/>
        <v>November</v>
      </c>
      <c r="P267" s="33">
        <f t="shared" si="45"/>
        <v>-263.95600000000002</v>
      </c>
      <c r="Q267" s="33">
        <f t="shared" si="46"/>
        <v>0.92592592592592582</v>
      </c>
      <c r="R267" s="33">
        <f t="shared" si="47"/>
        <v>53.991000000000007</v>
      </c>
      <c r="S267" s="33" t="str">
        <f t="shared" si="48"/>
        <v>Small</v>
      </c>
      <c r="T267" s="33" t="str">
        <f t="shared" si="49"/>
        <v>High</v>
      </c>
    </row>
    <row r="268" spans="1:20" x14ac:dyDescent="0.3">
      <c r="A268" s="2" t="s">
        <v>491</v>
      </c>
      <c r="B268" s="2" t="s">
        <v>489</v>
      </c>
      <c r="C268" s="2" t="s">
        <v>14</v>
      </c>
      <c r="D268" s="2" t="s">
        <v>15</v>
      </c>
      <c r="E268" s="2" t="s">
        <v>66</v>
      </c>
      <c r="F268" s="2" t="s">
        <v>17</v>
      </c>
      <c r="G268" s="2">
        <v>9</v>
      </c>
      <c r="H268" s="3">
        <v>549</v>
      </c>
      <c r="I268" s="3">
        <f t="shared" si="40"/>
        <v>4941</v>
      </c>
      <c r="J268" s="4">
        <v>10</v>
      </c>
      <c r="K268" s="3">
        <f t="shared" si="41"/>
        <v>4446.9000000000005</v>
      </c>
      <c r="L268" s="2" t="s">
        <v>18</v>
      </c>
      <c r="M268" s="31">
        <f t="shared" si="42"/>
        <v>4941</v>
      </c>
      <c r="N268" s="33">
        <f t="shared" si="43"/>
        <v>4392</v>
      </c>
      <c r="O268" s="31" t="str">
        <f t="shared" si="44"/>
        <v>November</v>
      </c>
      <c r="P268" s="33">
        <f t="shared" si="45"/>
        <v>-3897.9000000000005</v>
      </c>
      <c r="Q268" s="33">
        <f t="shared" si="46"/>
        <v>0.98765432098765416</v>
      </c>
      <c r="R268" s="33">
        <f t="shared" si="47"/>
        <v>494.10000000000008</v>
      </c>
      <c r="S268" s="33" t="str">
        <f t="shared" si="48"/>
        <v>Small</v>
      </c>
      <c r="T268" s="33" t="str">
        <f t="shared" si="49"/>
        <v>Low</v>
      </c>
    </row>
    <row r="269" spans="1:20" x14ac:dyDescent="0.3">
      <c r="A269" s="5" t="s">
        <v>492</v>
      </c>
      <c r="B269" s="5" t="s">
        <v>493</v>
      </c>
      <c r="C269" s="5" t="s">
        <v>21</v>
      </c>
      <c r="D269" s="5" t="s">
        <v>22</v>
      </c>
      <c r="E269" s="5" t="s">
        <v>77</v>
      </c>
      <c r="F269" s="5" t="s">
        <v>61</v>
      </c>
      <c r="G269" s="5">
        <v>13</v>
      </c>
      <c r="H269" s="6">
        <v>149</v>
      </c>
      <c r="I269" s="6">
        <f t="shared" si="40"/>
        <v>1937</v>
      </c>
      <c r="J269" s="7">
        <v>0</v>
      </c>
      <c r="K269" s="6">
        <f t="shared" si="41"/>
        <v>1937</v>
      </c>
      <c r="L269" s="5" t="s">
        <v>18</v>
      </c>
      <c r="M269" s="31">
        <f t="shared" si="42"/>
        <v>1937</v>
      </c>
      <c r="N269" s="33">
        <f t="shared" si="43"/>
        <v>1788</v>
      </c>
      <c r="O269" s="31" t="str">
        <f t="shared" si="44"/>
        <v>November</v>
      </c>
      <c r="P269" s="33">
        <f t="shared" si="45"/>
        <v>-1788</v>
      </c>
      <c r="Q269" s="33">
        <f t="shared" si="46"/>
        <v>0.92307692307692313</v>
      </c>
      <c r="R269" s="33">
        <f t="shared" si="47"/>
        <v>149</v>
      </c>
      <c r="S269" s="33" t="str">
        <f t="shared" si="48"/>
        <v>Large</v>
      </c>
      <c r="T269" s="33" t="str">
        <f t="shared" si="49"/>
        <v>High</v>
      </c>
    </row>
    <row r="270" spans="1:20" x14ac:dyDescent="0.3">
      <c r="A270" s="2" t="s">
        <v>494</v>
      </c>
      <c r="B270" s="2" t="s">
        <v>493</v>
      </c>
      <c r="C270" s="2" t="s">
        <v>32</v>
      </c>
      <c r="D270" s="2" t="s">
        <v>33</v>
      </c>
      <c r="E270" s="2" t="s">
        <v>141</v>
      </c>
      <c r="F270" s="2" t="s">
        <v>17</v>
      </c>
      <c r="G270" s="2">
        <v>2</v>
      </c>
      <c r="H270" s="3">
        <v>169</v>
      </c>
      <c r="I270" s="3">
        <f t="shared" si="40"/>
        <v>338</v>
      </c>
      <c r="J270" s="4">
        <v>15</v>
      </c>
      <c r="K270" s="3">
        <f t="shared" si="41"/>
        <v>287.3</v>
      </c>
      <c r="L270" s="2" t="s">
        <v>18</v>
      </c>
      <c r="M270" s="31">
        <f t="shared" si="42"/>
        <v>338</v>
      </c>
      <c r="N270" s="33">
        <f t="shared" si="43"/>
        <v>169</v>
      </c>
      <c r="O270" s="31" t="str">
        <f t="shared" si="44"/>
        <v>November</v>
      </c>
      <c r="P270" s="33">
        <f t="shared" si="45"/>
        <v>-118.30000000000001</v>
      </c>
      <c r="Q270" s="33">
        <f t="shared" si="46"/>
        <v>0.58823529411764708</v>
      </c>
      <c r="R270" s="33">
        <f t="shared" si="47"/>
        <v>143.65</v>
      </c>
      <c r="S270" s="33" t="str">
        <f t="shared" si="48"/>
        <v>Small</v>
      </c>
      <c r="T270" s="33" t="str">
        <f t="shared" si="49"/>
        <v>High</v>
      </c>
    </row>
    <row r="271" spans="1:20" x14ac:dyDescent="0.3">
      <c r="A271" s="5" t="s">
        <v>495</v>
      </c>
      <c r="B271" s="5" t="s">
        <v>496</v>
      </c>
      <c r="C271" s="5" t="s">
        <v>52</v>
      </c>
      <c r="D271" s="5" t="s">
        <v>33</v>
      </c>
      <c r="E271" s="5" t="s">
        <v>74</v>
      </c>
      <c r="F271" s="5" t="s">
        <v>30</v>
      </c>
      <c r="G271" s="5">
        <v>6</v>
      </c>
      <c r="H271" s="6">
        <v>49.99</v>
      </c>
      <c r="I271" s="6">
        <f t="shared" si="40"/>
        <v>299.94</v>
      </c>
      <c r="J271" s="7">
        <v>12</v>
      </c>
      <c r="K271" s="6">
        <f t="shared" si="41"/>
        <v>263.94720000000001</v>
      </c>
      <c r="L271" s="5" t="s">
        <v>18</v>
      </c>
      <c r="M271" s="31">
        <f t="shared" si="42"/>
        <v>299.94</v>
      </c>
      <c r="N271" s="33">
        <f t="shared" si="43"/>
        <v>249.95</v>
      </c>
      <c r="O271" s="31" t="str">
        <f t="shared" si="44"/>
        <v>November</v>
      </c>
      <c r="P271" s="33">
        <f t="shared" si="45"/>
        <v>-213.9572</v>
      </c>
      <c r="Q271" s="33">
        <f t="shared" si="46"/>
        <v>0.94696969696969691</v>
      </c>
      <c r="R271" s="33">
        <f t="shared" si="47"/>
        <v>43.991199999999999</v>
      </c>
      <c r="S271" s="33" t="str">
        <f t="shared" si="48"/>
        <v>Small</v>
      </c>
      <c r="T271" s="33" t="str">
        <f t="shared" si="49"/>
        <v>Low</v>
      </c>
    </row>
    <row r="272" spans="1:20" x14ac:dyDescent="0.3">
      <c r="A272" s="11" t="s">
        <v>497</v>
      </c>
      <c r="B272" s="11" t="s">
        <v>496</v>
      </c>
      <c r="C272" s="11" t="s">
        <v>32</v>
      </c>
      <c r="D272" s="11" t="s">
        <v>33</v>
      </c>
      <c r="E272" s="11" t="s">
        <v>82</v>
      </c>
      <c r="F272" s="11" t="s">
        <v>61</v>
      </c>
      <c r="G272" s="11">
        <v>3</v>
      </c>
      <c r="H272" s="12">
        <v>59.99</v>
      </c>
      <c r="I272" s="12">
        <f t="shared" si="40"/>
        <v>179.97</v>
      </c>
      <c r="J272" s="13">
        <v>12</v>
      </c>
      <c r="K272" s="12">
        <f t="shared" si="41"/>
        <v>158.37360000000001</v>
      </c>
      <c r="L272" s="11" t="s">
        <v>72</v>
      </c>
      <c r="M272" s="31">
        <f t="shared" si="42"/>
        <v>179.97</v>
      </c>
      <c r="N272" s="33">
        <f t="shared" si="43"/>
        <v>119.97999999999999</v>
      </c>
      <c r="O272" s="31" t="str">
        <f t="shared" si="44"/>
        <v>November</v>
      </c>
      <c r="P272" s="33">
        <f t="shared" si="45"/>
        <v>-98.383600000000001</v>
      </c>
      <c r="Q272" s="33">
        <f t="shared" si="46"/>
        <v>0.75757575757575746</v>
      </c>
      <c r="R272" s="33">
        <f t="shared" si="47"/>
        <v>52.791200000000003</v>
      </c>
      <c r="S272" s="33" t="str">
        <f t="shared" si="48"/>
        <v>Small</v>
      </c>
      <c r="T272" s="33" t="str">
        <f t="shared" si="49"/>
        <v>Low</v>
      </c>
    </row>
    <row r="273" spans="1:20" x14ac:dyDescent="0.3">
      <c r="A273" s="5" t="s">
        <v>498</v>
      </c>
      <c r="B273" s="5" t="s">
        <v>499</v>
      </c>
      <c r="C273" s="5" t="s">
        <v>41</v>
      </c>
      <c r="D273" s="5" t="s">
        <v>15</v>
      </c>
      <c r="E273" s="5" t="s">
        <v>74</v>
      </c>
      <c r="F273" s="5" t="s">
        <v>30</v>
      </c>
      <c r="G273" s="5">
        <v>28</v>
      </c>
      <c r="H273" s="6">
        <v>49.99</v>
      </c>
      <c r="I273" s="6">
        <f t="shared" si="40"/>
        <v>1399.72</v>
      </c>
      <c r="J273" s="7">
        <v>10</v>
      </c>
      <c r="K273" s="6">
        <f t="shared" si="41"/>
        <v>1259.748</v>
      </c>
      <c r="L273" s="5" t="s">
        <v>18</v>
      </c>
      <c r="M273" s="31">
        <f t="shared" si="42"/>
        <v>1399.72</v>
      </c>
      <c r="N273" s="33">
        <f t="shared" si="43"/>
        <v>1349.73</v>
      </c>
      <c r="O273" s="31" t="str">
        <f t="shared" si="44"/>
        <v>November</v>
      </c>
      <c r="P273" s="33">
        <f t="shared" si="45"/>
        <v>-1209.758</v>
      </c>
      <c r="Q273" s="33">
        <f t="shared" si="46"/>
        <v>1.0714285714285714</v>
      </c>
      <c r="R273" s="33">
        <f t="shared" si="47"/>
        <v>44.991</v>
      </c>
      <c r="S273" s="33" t="str">
        <f t="shared" si="48"/>
        <v>Large</v>
      </c>
      <c r="T273" s="33" t="str">
        <f t="shared" si="49"/>
        <v>Low</v>
      </c>
    </row>
    <row r="274" spans="1:20" x14ac:dyDescent="0.3">
      <c r="A274" s="2" t="s">
        <v>500</v>
      </c>
      <c r="B274" s="2" t="s">
        <v>501</v>
      </c>
      <c r="C274" s="2" t="s">
        <v>55</v>
      </c>
      <c r="D274" s="2" t="s">
        <v>38</v>
      </c>
      <c r="E274" s="2" t="s">
        <v>46</v>
      </c>
      <c r="F274" s="2" t="s">
        <v>30</v>
      </c>
      <c r="G274" s="2">
        <v>22</v>
      </c>
      <c r="H274" s="3">
        <v>59.99</v>
      </c>
      <c r="I274" s="3">
        <f t="shared" si="40"/>
        <v>1319.78</v>
      </c>
      <c r="J274" s="4">
        <v>5</v>
      </c>
      <c r="K274" s="3">
        <f t="shared" si="41"/>
        <v>1253.7909999999999</v>
      </c>
      <c r="L274" s="2" t="s">
        <v>18</v>
      </c>
      <c r="M274" s="31">
        <f t="shared" si="42"/>
        <v>1319.78</v>
      </c>
      <c r="N274" s="33">
        <f t="shared" si="43"/>
        <v>1259.79</v>
      </c>
      <c r="O274" s="31" t="str">
        <f t="shared" si="44"/>
        <v>November</v>
      </c>
      <c r="P274" s="33">
        <f t="shared" si="45"/>
        <v>-1193.8009999999999</v>
      </c>
      <c r="Q274" s="33">
        <f t="shared" si="46"/>
        <v>1.0047846889952152</v>
      </c>
      <c r="R274" s="33">
        <f t="shared" si="47"/>
        <v>56.990499999999997</v>
      </c>
      <c r="S274" s="33" t="str">
        <f t="shared" si="48"/>
        <v>Large</v>
      </c>
      <c r="T274" s="33" t="str">
        <f t="shared" si="49"/>
        <v>High</v>
      </c>
    </row>
    <row r="275" spans="1:20" x14ac:dyDescent="0.3">
      <c r="A275" s="5" t="s">
        <v>502</v>
      </c>
      <c r="B275" s="5" t="s">
        <v>503</v>
      </c>
      <c r="C275" s="5" t="s">
        <v>21</v>
      </c>
      <c r="D275" s="5" t="s">
        <v>22</v>
      </c>
      <c r="E275" s="5" t="s">
        <v>93</v>
      </c>
      <c r="F275" s="5" t="s">
        <v>24</v>
      </c>
      <c r="G275" s="5">
        <v>10</v>
      </c>
      <c r="H275" s="6">
        <v>599</v>
      </c>
      <c r="I275" s="6">
        <f t="shared" si="40"/>
        <v>5990</v>
      </c>
      <c r="J275" s="7">
        <v>12</v>
      </c>
      <c r="K275" s="6">
        <f t="shared" si="41"/>
        <v>5271.2</v>
      </c>
      <c r="L275" s="5" t="s">
        <v>18</v>
      </c>
      <c r="M275" s="31">
        <f t="shared" si="42"/>
        <v>5990</v>
      </c>
      <c r="N275" s="33">
        <f t="shared" si="43"/>
        <v>5391</v>
      </c>
      <c r="O275" s="31" t="str">
        <f t="shared" si="44"/>
        <v>November</v>
      </c>
      <c r="P275" s="33">
        <f t="shared" si="45"/>
        <v>-4672.2</v>
      </c>
      <c r="Q275" s="33">
        <f t="shared" si="46"/>
        <v>1.0227272727272727</v>
      </c>
      <c r="R275" s="33">
        <f t="shared" si="47"/>
        <v>527.12</v>
      </c>
      <c r="S275" s="33" t="str">
        <f t="shared" si="48"/>
        <v>Large</v>
      </c>
      <c r="T275" s="33" t="str">
        <f t="shared" si="49"/>
        <v>High</v>
      </c>
    </row>
    <row r="276" spans="1:20" x14ac:dyDescent="0.3">
      <c r="A276" s="2" t="s">
        <v>504</v>
      </c>
      <c r="B276" s="2" t="s">
        <v>503</v>
      </c>
      <c r="C276" s="2" t="s">
        <v>52</v>
      </c>
      <c r="D276" s="2" t="s">
        <v>33</v>
      </c>
      <c r="E276" s="2" t="s">
        <v>93</v>
      </c>
      <c r="F276" s="2" t="s">
        <v>24</v>
      </c>
      <c r="G276" s="2">
        <v>3</v>
      </c>
      <c r="H276" s="3">
        <v>599</v>
      </c>
      <c r="I276" s="3">
        <f t="shared" si="40"/>
        <v>1797</v>
      </c>
      <c r="J276" s="4">
        <v>0</v>
      </c>
      <c r="K276" s="3">
        <f t="shared" si="41"/>
        <v>1797</v>
      </c>
      <c r="L276" s="2" t="s">
        <v>18</v>
      </c>
      <c r="M276" s="31">
        <f t="shared" si="42"/>
        <v>1797</v>
      </c>
      <c r="N276" s="33">
        <f t="shared" si="43"/>
        <v>1198</v>
      </c>
      <c r="O276" s="31" t="str">
        <f t="shared" si="44"/>
        <v>November</v>
      </c>
      <c r="P276" s="33">
        <f t="shared" si="45"/>
        <v>-1198</v>
      </c>
      <c r="Q276" s="33">
        <f t="shared" si="46"/>
        <v>0.66666666666666663</v>
      </c>
      <c r="R276" s="33">
        <f t="shared" si="47"/>
        <v>599</v>
      </c>
      <c r="S276" s="33" t="str">
        <f t="shared" si="48"/>
        <v>Small</v>
      </c>
      <c r="T276" s="33" t="str">
        <f t="shared" si="49"/>
        <v>High</v>
      </c>
    </row>
    <row r="277" spans="1:20" x14ac:dyDescent="0.3">
      <c r="A277" s="5" t="s">
        <v>505</v>
      </c>
      <c r="B277" s="5" t="s">
        <v>506</v>
      </c>
      <c r="C277" s="5" t="s">
        <v>37</v>
      </c>
      <c r="D277" s="5" t="s">
        <v>38</v>
      </c>
      <c r="E277" s="5" t="s">
        <v>64</v>
      </c>
      <c r="F277" s="5" t="s">
        <v>24</v>
      </c>
      <c r="G277" s="5">
        <v>6</v>
      </c>
      <c r="H277" s="6">
        <v>1299</v>
      </c>
      <c r="I277" s="6">
        <f t="shared" si="40"/>
        <v>7794</v>
      </c>
      <c r="J277" s="7">
        <v>5</v>
      </c>
      <c r="K277" s="6">
        <f t="shared" si="41"/>
        <v>7404.2999999999993</v>
      </c>
      <c r="L277" s="5" t="s">
        <v>18</v>
      </c>
      <c r="M277" s="31">
        <f t="shared" si="42"/>
        <v>7794</v>
      </c>
      <c r="N277" s="33">
        <f t="shared" si="43"/>
        <v>6495</v>
      </c>
      <c r="O277" s="31" t="str">
        <f t="shared" si="44"/>
        <v>November</v>
      </c>
      <c r="P277" s="33">
        <f t="shared" si="45"/>
        <v>-6105.2999999999993</v>
      </c>
      <c r="Q277" s="33">
        <f t="shared" si="46"/>
        <v>0.87719298245614041</v>
      </c>
      <c r="R277" s="33">
        <f t="shared" si="47"/>
        <v>1234.05</v>
      </c>
      <c r="S277" s="33" t="str">
        <f t="shared" si="48"/>
        <v>Small</v>
      </c>
      <c r="T277" s="33" t="str">
        <f t="shared" si="49"/>
        <v>High</v>
      </c>
    </row>
    <row r="278" spans="1:20" x14ac:dyDescent="0.3">
      <c r="A278" s="2" t="s">
        <v>507</v>
      </c>
      <c r="B278" s="2" t="s">
        <v>508</v>
      </c>
      <c r="C278" s="2" t="s">
        <v>49</v>
      </c>
      <c r="D278" s="2" t="s">
        <v>38</v>
      </c>
      <c r="E278" s="2" t="s">
        <v>46</v>
      </c>
      <c r="F278" s="2" t="s">
        <v>30</v>
      </c>
      <c r="G278" s="2">
        <v>3</v>
      </c>
      <c r="H278" s="3">
        <v>59.99</v>
      </c>
      <c r="I278" s="3">
        <f t="shared" si="40"/>
        <v>179.97</v>
      </c>
      <c r="J278" s="4">
        <v>5</v>
      </c>
      <c r="K278" s="3">
        <f t="shared" si="41"/>
        <v>170.97149999999999</v>
      </c>
      <c r="L278" s="2" t="s">
        <v>18</v>
      </c>
      <c r="M278" s="31">
        <f t="shared" si="42"/>
        <v>179.97</v>
      </c>
      <c r="N278" s="33">
        <f t="shared" si="43"/>
        <v>119.97999999999999</v>
      </c>
      <c r="O278" s="31" t="str">
        <f t="shared" si="44"/>
        <v>November</v>
      </c>
      <c r="P278" s="33">
        <f t="shared" si="45"/>
        <v>-110.98149999999998</v>
      </c>
      <c r="Q278" s="33">
        <f t="shared" si="46"/>
        <v>0.70175438596491224</v>
      </c>
      <c r="R278" s="33">
        <f t="shared" si="47"/>
        <v>56.990499999999997</v>
      </c>
      <c r="S278" s="33" t="str">
        <f t="shared" si="48"/>
        <v>Small</v>
      </c>
      <c r="T278" s="33" t="str">
        <f t="shared" si="49"/>
        <v>High</v>
      </c>
    </row>
    <row r="279" spans="1:20" x14ac:dyDescent="0.3">
      <c r="A279" s="8" t="s">
        <v>509</v>
      </c>
      <c r="B279" s="8" t="s">
        <v>508</v>
      </c>
      <c r="C279" s="8" t="s">
        <v>49</v>
      </c>
      <c r="D279" s="8" t="s">
        <v>38</v>
      </c>
      <c r="E279" s="8" t="s">
        <v>77</v>
      </c>
      <c r="F279" s="8" t="s">
        <v>61</v>
      </c>
      <c r="G279" s="8">
        <v>5</v>
      </c>
      <c r="H279" s="9">
        <v>149</v>
      </c>
      <c r="I279" s="9">
        <f t="shared" si="40"/>
        <v>745</v>
      </c>
      <c r="J279" s="10">
        <v>8</v>
      </c>
      <c r="K279" s="9">
        <f t="shared" si="41"/>
        <v>685.4</v>
      </c>
      <c r="L279" s="8" t="s">
        <v>72</v>
      </c>
      <c r="M279" s="31">
        <f t="shared" si="42"/>
        <v>745</v>
      </c>
      <c r="N279" s="33">
        <f t="shared" si="43"/>
        <v>596</v>
      </c>
      <c r="O279" s="31" t="str">
        <f t="shared" si="44"/>
        <v>November</v>
      </c>
      <c r="P279" s="33">
        <f t="shared" si="45"/>
        <v>-536.4</v>
      </c>
      <c r="Q279" s="33">
        <f t="shared" si="46"/>
        <v>0.86956521739130432</v>
      </c>
      <c r="R279" s="33">
        <f t="shared" si="47"/>
        <v>137.07999999999998</v>
      </c>
      <c r="S279" s="33" t="str">
        <f t="shared" si="48"/>
        <v>Small</v>
      </c>
      <c r="T279" s="33" t="str">
        <f t="shared" si="49"/>
        <v>Low</v>
      </c>
    </row>
    <row r="280" spans="1:20" x14ac:dyDescent="0.3">
      <c r="A280" s="2" t="s">
        <v>510</v>
      </c>
      <c r="B280" s="2" t="s">
        <v>508</v>
      </c>
      <c r="C280" s="2" t="s">
        <v>21</v>
      </c>
      <c r="D280" s="2" t="s">
        <v>22</v>
      </c>
      <c r="E280" s="2" t="s">
        <v>147</v>
      </c>
      <c r="F280" s="2" t="s">
        <v>24</v>
      </c>
      <c r="G280" s="2">
        <v>20</v>
      </c>
      <c r="H280" s="3">
        <v>79.989999999999995</v>
      </c>
      <c r="I280" s="3">
        <f t="shared" si="40"/>
        <v>1599.8</v>
      </c>
      <c r="J280" s="4">
        <v>0</v>
      </c>
      <c r="K280" s="3">
        <f t="shared" si="41"/>
        <v>1599.8</v>
      </c>
      <c r="L280" s="2" t="s">
        <v>18</v>
      </c>
      <c r="M280" s="31">
        <f t="shared" si="42"/>
        <v>1599.8</v>
      </c>
      <c r="N280" s="33">
        <f t="shared" si="43"/>
        <v>1519.81</v>
      </c>
      <c r="O280" s="31" t="str">
        <f t="shared" si="44"/>
        <v>November</v>
      </c>
      <c r="P280" s="33">
        <f t="shared" si="45"/>
        <v>-1519.81</v>
      </c>
      <c r="Q280" s="33">
        <f t="shared" si="46"/>
        <v>0.95</v>
      </c>
      <c r="R280" s="33">
        <f t="shared" si="47"/>
        <v>79.989999999999995</v>
      </c>
      <c r="S280" s="33" t="str">
        <f t="shared" si="48"/>
        <v>Large</v>
      </c>
      <c r="T280" s="33" t="str">
        <f t="shared" si="49"/>
        <v>Low</v>
      </c>
    </row>
    <row r="281" spans="1:20" x14ac:dyDescent="0.3">
      <c r="A281" s="5" t="s">
        <v>511</v>
      </c>
      <c r="B281" s="5" t="s">
        <v>512</v>
      </c>
      <c r="C281" s="5" t="s">
        <v>49</v>
      </c>
      <c r="D281" s="5" t="s">
        <v>38</v>
      </c>
      <c r="E281" s="5" t="s">
        <v>29</v>
      </c>
      <c r="F281" s="5" t="s">
        <v>30</v>
      </c>
      <c r="G281" s="5">
        <v>23</v>
      </c>
      <c r="H281" s="6">
        <v>29.99</v>
      </c>
      <c r="I281" s="6">
        <f t="shared" si="40"/>
        <v>689.77</v>
      </c>
      <c r="J281" s="7">
        <v>0</v>
      </c>
      <c r="K281" s="6">
        <f t="shared" si="41"/>
        <v>689.77</v>
      </c>
      <c r="L281" s="5" t="s">
        <v>18</v>
      </c>
      <c r="M281" s="31">
        <f t="shared" si="42"/>
        <v>689.77</v>
      </c>
      <c r="N281" s="33">
        <f t="shared" si="43"/>
        <v>659.78</v>
      </c>
      <c r="O281" s="31" t="str">
        <f t="shared" si="44"/>
        <v>November</v>
      </c>
      <c r="P281" s="33">
        <f t="shared" si="45"/>
        <v>-659.78</v>
      </c>
      <c r="Q281" s="33">
        <f t="shared" si="46"/>
        <v>0.95652173913043481</v>
      </c>
      <c r="R281" s="33">
        <f t="shared" si="47"/>
        <v>29.99</v>
      </c>
      <c r="S281" s="33" t="str">
        <f t="shared" si="48"/>
        <v>Large</v>
      </c>
      <c r="T281" s="33" t="str">
        <f t="shared" si="49"/>
        <v>High</v>
      </c>
    </row>
    <row r="282" spans="1:20" x14ac:dyDescent="0.3">
      <c r="A282" s="11" t="s">
        <v>513</v>
      </c>
      <c r="B282" s="11" t="s">
        <v>512</v>
      </c>
      <c r="C282" s="11" t="s">
        <v>37</v>
      </c>
      <c r="D282" s="11" t="s">
        <v>38</v>
      </c>
      <c r="E282" s="11" t="s">
        <v>90</v>
      </c>
      <c r="F282" s="11" t="s">
        <v>24</v>
      </c>
      <c r="G282" s="11">
        <v>13</v>
      </c>
      <c r="H282" s="12">
        <v>149.99</v>
      </c>
      <c r="I282" s="12">
        <f t="shared" si="40"/>
        <v>1949.8700000000001</v>
      </c>
      <c r="J282" s="13">
        <v>15</v>
      </c>
      <c r="K282" s="12">
        <f t="shared" si="41"/>
        <v>1657.3895</v>
      </c>
      <c r="L282" s="11" t="s">
        <v>72</v>
      </c>
      <c r="M282" s="31">
        <f t="shared" si="42"/>
        <v>1949.8700000000001</v>
      </c>
      <c r="N282" s="33">
        <f t="shared" si="43"/>
        <v>1799.88</v>
      </c>
      <c r="O282" s="31" t="str">
        <f t="shared" si="44"/>
        <v>November</v>
      </c>
      <c r="P282" s="33">
        <f t="shared" si="45"/>
        <v>-1507.3995</v>
      </c>
      <c r="Q282" s="33">
        <f t="shared" si="46"/>
        <v>1.0859728506787332</v>
      </c>
      <c r="R282" s="33">
        <f t="shared" si="47"/>
        <v>127.4915</v>
      </c>
      <c r="S282" s="33" t="str">
        <f t="shared" si="48"/>
        <v>Large</v>
      </c>
      <c r="T282" s="33" t="str">
        <f t="shared" si="49"/>
        <v>Low</v>
      </c>
    </row>
    <row r="283" spans="1:20" x14ac:dyDescent="0.3">
      <c r="A283" s="5" t="s">
        <v>514</v>
      </c>
      <c r="B283" s="5" t="s">
        <v>515</v>
      </c>
      <c r="C283" s="5" t="s">
        <v>28</v>
      </c>
      <c r="D283" s="5" t="s">
        <v>22</v>
      </c>
      <c r="E283" s="5" t="s">
        <v>60</v>
      </c>
      <c r="F283" s="5" t="s">
        <v>61</v>
      </c>
      <c r="G283" s="5">
        <v>24</v>
      </c>
      <c r="H283" s="6">
        <v>49.99</v>
      </c>
      <c r="I283" s="6">
        <f t="shared" si="40"/>
        <v>1199.76</v>
      </c>
      <c r="J283" s="7">
        <v>5</v>
      </c>
      <c r="K283" s="6">
        <f t="shared" si="41"/>
        <v>1139.7719999999999</v>
      </c>
      <c r="L283" s="5" t="s">
        <v>18</v>
      </c>
      <c r="M283" s="31">
        <f t="shared" si="42"/>
        <v>1199.76</v>
      </c>
      <c r="N283" s="33">
        <f t="shared" si="43"/>
        <v>1149.77</v>
      </c>
      <c r="O283" s="31" t="str">
        <f t="shared" si="44"/>
        <v>November</v>
      </c>
      <c r="P283" s="33">
        <f t="shared" si="45"/>
        <v>-1089.7819999999999</v>
      </c>
      <c r="Q283" s="33">
        <f t="shared" si="46"/>
        <v>1.0087719298245614</v>
      </c>
      <c r="R283" s="33">
        <f t="shared" si="47"/>
        <v>47.490499999999997</v>
      </c>
      <c r="S283" s="33" t="str">
        <f t="shared" si="48"/>
        <v>Large</v>
      </c>
      <c r="T283" s="33" t="str">
        <f t="shared" si="49"/>
        <v>High</v>
      </c>
    </row>
    <row r="284" spans="1:20" x14ac:dyDescent="0.3">
      <c r="A284" s="11" t="s">
        <v>516</v>
      </c>
      <c r="B284" s="11" t="s">
        <v>517</v>
      </c>
      <c r="C284" s="11" t="s">
        <v>21</v>
      </c>
      <c r="D284" s="11" t="s">
        <v>22</v>
      </c>
      <c r="E284" s="11" t="s">
        <v>43</v>
      </c>
      <c r="F284" s="11" t="s">
        <v>24</v>
      </c>
      <c r="G284" s="11">
        <v>22</v>
      </c>
      <c r="H284" s="12">
        <v>399</v>
      </c>
      <c r="I284" s="12">
        <f t="shared" si="40"/>
        <v>8778</v>
      </c>
      <c r="J284" s="13">
        <v>8</v>
      </c>
      <c r="K284" s="12">
        <f t="shared" si="41"/>
        <v>8075.76</v>
      </c>
      <c r="L284" s="11" t="s">
        <v>72</v>
      </c>
      <c r="M284" s="31">
        <f t="shared" si="42"/>
        <v>8778</v>
      </c>
      <c r="N284" s="33">
        <f t="shared" si="43"/>
        <v>8379</v>
      </c>
      <c r="O284" s="31" t="str">
        <f t="shared" si="44"/>
        <v>November</v>
      </c>
      <c r="P284" s="33">
        <f t="shared" si="45"/>
        <v>-7676.76</v>
      </c>
      <c r="Q284" s="33">
        <f t="shared" si="46"/>
        <v>1.0375494071146245</v>
      </c>
      <c r="R284" s="33">
        <f t="shared" si="47"/>
        <v>367.08</v>
      </c>
      <c r="S284" s="33" t="str">
        <f t="shared" si="48"/>
        <v>Large</v>
      </c>
      <c r="T284" s="33" t="str">
        <f t="shared" si="49"/>
        <v>High</v>
      </c>
    </row>
    <row r="285" spans="1:20" x14ac:dyDescent="0.3">
      <c r="A285" s="5" t="s">
        <v>518</v>
      </c>
      <c r="B285" s="5" t="s">
        <v>519</v>
      </c>
      <c r="C285" s="5" t="s">
        <v>37</v>
      </c>
      <c r="D285" s="5" t="s">
        <v>38</v>
      </c>
      <c r="E285" s="5" t="s">
        <v>29</v>
      </c>
      <c r="F285" s="5" t="s">
        <v>30</v>
      </c>
      <c r="G285" s="5">
        <v>4</v>
      </c>
      <c r="H285" s="6">
        <v>29.99</v>
      </c>
      <c r="I285" s="6">
        <f t="shared" si="40"/>
        <v>119.96</v>
      </c>
      <c r="J285" s="7">
        <v>5</v>
      </c>
      <c r="K285" s="6">
        <f t="shared" si="41"/>
        <v>113.96199999999999</v>
      </c>
      <c r="L285" s="5" t="s">
        <v>18</v>
      </c>
      <c r="M285" s="31">
        <f t="shared" si="42"/>
        <v>119.96</v>
      </c>
      <c r="N285" s="33">
        <f t="shared" si="43"/>
        <v>89.97</v>
      </c>
      <c r="O285" s="31" t="str">
        <f t="shared" si="44"/>
        <v>November</v>
      </c>
      <c r="P285" s="33">
        <f t="shared" si="45"/>
        <v>-83.971999999999994</v>
      </c>
      <c r="Q285" s="33">
        <f t="shared" si="46"/>
        <v>0.78947368421052633</v>
      </c>
      <c r="R285" s="33">
        <f t="shared" si="47"/>
        <v>28.490499999999997</v>
      </c>
      <c r="S285" s="33" t="str">
        <f t="shared" si="48"/>
        <v>Small</v>
      </c>
      <c r="T285" s="33" t="str">
        <f t="shared" si="49"/>
        <v>High</v>
      </c>
    </row>
    <row r="286" spans="1:20" x14ac:dyDescent="0.3">
      <c r="A286" s="17" t="s">
        <v>520</v>
      </c>
      <c r="B286" s="17" t="s">
        <v>521</v>
      </c>
      <c r="C286" s="17" t="s">
        <v>41</v>
      </c>
      <c r="D286" s="17" t="s">
        <v>15</v>
      </c>
      <c r="E286" s="17" t="s">
        <v>77</v>
      </c>
      <c r="F286" s="17" t="s">
        <v>61</v>
      </c>
      <c r="G286" s="17">
        <v>17</v>
      </c>
      <c r="H286" s="18">
        <v>149</v>
      </c>
      <c r="I286" s="18">
        <f t="shared" si="40"/>
        <v>2533</v>
      </c>
      <c r="J286" s="19">
        <v>15</v>
      </c>
      <c r="K286" s="18">
        <f t="shared" si="41"/>
        <v>2153.0499999999997</v>
      </c>
      <c r="L286" s="17" t="s">
        <v>132</v>
      </c>
      <c r="M286" s="31">
        <f t="shared" si="42"/>
        <v>2533</v>
      </c>
      <c r="N286" s="33">
        <f t="shared" si="43"/>
        <v>2384</v>
      </c>
      <c r="O286" s="31" t="str">
        <f t="shared" si="44"/>
        <v>November</v>
      </c>
      <c r="P286" s="33">
        <f t="shared" si="45"/>
        <v>-2004.0499999999997</v>
      </c>
      <c r="Q286" s="33">
        <f t="shared" si="46"/>
        <v>1.1072664359861593</v>
      </c>
      <c r="R286" s="33">
        <f t="shared" si="47"/>
        <v>126.64999999999998</v>
      </c>
      <c r="S286" s="33" t="str">
        <f t="shared" si="48"/>
        <v>Large</v>
      </c>
      <c r="T286" s="33" t="str">
        <f t="shared" si="49"/>
        <v>Low</v>
      </c>
    </row>
    <row r="287" spans="1:20" x14ac:dyDescent="0.3">
      <c r="A287" s="8" t="s">
        <v>522</v>
      </c>
      <c r="B287" s="8" t="s">
        <v>521</v>
      </c>
      <c r="C287" s="8" t="s">
        <v>21</v>
      </c>
      <c r="D287" s="8" t="s">
        <v>22</v>
      </c>
      <c r="E287" s="8" t="s">
        <v>106</v>
      </c>
      <c r="F287" s="8" t="s">
        <v>17</v>
      </c>
      <c r="G287" s="8">
        <v>3</v>
      </c>
      <c r="H287" s="9">
        <v>199</v>
      </c>
      <c r="I287" s="9">
        <f t="shared" si="40"/>
        <v>597</v>
      </c>
      <c r="J287" s="10">
        <v>0</v>
      </c>
      <c r="K287" s="9">
        <f t="shared" si="41"/>
        <v>597</v>
      </c>
      <c r="L287" s="8" t="s">
        <v>72</v>
      </c>
      <c r="M287" s="31">
        <f t="shared" si="42"/>
        <v>597</v>
      </c>
      <c r="N287" s="33">
        <f t="shared" si="43"/>
        <v>398</v>
      </c>
      <c r="O287" s="31" t="str">
        <f t="shared" si="44"/>
        <v>November</v>
      </c>
      <c r="P287" s="33">
        <f t="shared" si="45"/>
        <v>-398</v>
      </c>
      <c r="Q287" s="33">
        <f t="shared" si="46"/>
        <v>0.66666666666666663</v>
      </c>
      <c r="R287" s="33">
        <f t="shared" si="47"/>
        <v>199</v>
      </c>
      <c r="S287" s="33" t="str">
        <f t="shared" si="48"/>
        <v>Small</v>
      </c>
      <c r="T287" s="33" t="str">
        <f t="shared" si="49"/>
        <v>High</v>
      </c>
    </row>
    <row r="288" spans="1:20" x14ac:dyDescent="0.3">
      <c r="A288" s="2" t="s">
        <v>523</v>
      </c>
      <c r="B288" s="2" t="s">
        <v>524</v>
      </c>
      <c r="C288" s="2" t="s">
        <v>41</v>
      </c>
      <c r="D288" s="2" t="s">
        <v>15</v>
      </c>
      <c r="E288" s="2" t="s">
        <v>93</v>
      </c>
      <c r="F288" s="2" t="s">
        <v>24</v>
      </c>
      <c r="G288" s="2">
        <v>26</v>
      </c>
      <c r="H288" s="3">
        <v>599</v>
      </c>
      <c r="I288" s="3">
        <f t="shared" si="40"/>
        <v>15574</v>
      </c>
      <c r="J288" s="4">
        <v>12</v>
      </c>
      <c r="K288" s="3">
        <f t="shared" si="41"/>
        <v>13705.12</v>
      </c>
      <c r="L288" s="2" t="s">
        <v>18</v>
      </c>
      <c r="M288" s="31">
        <f t="shared" si="42"/>
        <v>15574</v>
      </c>
      <c r="N288" s="33">
        <f t="shared" si="43"/>
        <v>14975</v>
      </c>
      <c r="O288" s="31" t="str">
        <f t="shared" si="44"/>
        <v>November</v>
      </c>
      <c r="P288" s="33">
        <f t="shared" si="45"/>
        <v>-13106.12</v>
      </c>
      <c r="Q288" s="33">
        <f t="shared" si="46"/>
        <v>1.0926573426573425</v>
      </c>
      <c r="R288" s="33">
        <f t="shared" si="47"/>
        <v>527.12</v>
      </c>
      <c r="S288" s="33" t="str">
        <f t="shared" si="48"/>
        <v>Large</v>
      </c>
      <c r="T288" s="33" t="str">
        <f t="shared" si="49"/>
        <v>Low</v>
      </c>
    </row>
    <row r="289" spans="1:20" x14ac:dyDescent="0.3">
      <c r="A289" s="8" t="s">
        <v>525</v>
      </c>
      <c r="B289" s="8" t="s">
        <v>526</v>
      </c>
      <c r="C289" s="8" t="s">
        <v>41</v>
      </c>
      <c r="D289" s="8" t="s">
        <v>15</v>
      </c>
      <c r="E289" s="8" t="s">
        <v>144</v>
      </c>
      <c r="F289" s="8" t="s">
        <v>30</v>
      </c>
      <c r="G289" s="8">
        <v>14</v>
      </c>
      <c r="H289" s="9">
        <v>79.989999999999995</v>
      </c>
      <c r="I289" s="9">
        <f t="shared" si="40"/>
        <v>1119.8599999999999</v>
      </c>
      <c r="J289" s="10">
        <v>8</v>
      </c>
      <c r="K289" s="9">
        <f t="shared" si="41"/>
        <v>1030.2711999999999</v>
      </c>
      <c r="L289" s="8" t="s">
        <v>72</v>
      </c>
      <c r="M289" s="31">
        <f t="shared" si="42"/>
        <v>1119.8599999999999</v>
      </c>
      <c r="N289" s="33">
        <f t="shared" si="43"/>
        <v>1039.8699999999999</v>
      </c>
      <c r="O289" s="31" t="str">
        <f t="shared" si="44"/>
        <v>November</v>
      </c>
      <c r="P289" s="33">
        <f t="shared" si="45"/>
        <v>-950.2811999999999</v>
      </c>
      <c r="Q289" s="33">
        <f t="shared" si="46"/>
        <v>1.0093167701863355</v>
      </c>
      <c r="R289" s="33">
        <f t="shared" si="47"/>
        <v>73.590799999999987</v>
      </c>
      <c r="S289" s="33" t="str">
        <f t="shared" si="48"/>
        <v>Large</v>
      </c>
      <c r="T289" s="33" t="str">
        <f t="shared" si="49"/>
        <v>High</v>
      </c>
    </row>
    <row r="290" spans="1:20" x14ac:dyDescent="0.3">
      <c r="A290" s="2" t="s">
        <v>527</v>
      </c>
      <c r="B290" s="2" t="s">
        <v>526</v>
      </c>
      <c r="C290" s="2" t="s">
        <v>49</v>
      </c>
      <c r="D290" s="2" t="s">
        <v>38</v>
      </c>
      <c r="E290" s="2" t="s">
        <v>90</v>
      </c>
      <c r="F290" s="2" t="s">
        <v>24</v>
      </c>
      <c r="G290" s="2">
        <v>18</v>
      </c>
      <c r="H290" s="3">
        <v>149.99</v>
      </c>
      <c r="I290" s="3">
        <f t="shared" si="40"/>
        <v>2699.82</v>
      </c>
      <c r="J290" s="4">
        <v>5</v>
      </c>
      <c r="K290" s="3">
        <f t="shared" si="41"/>
        <v>2564.8290000000002</v>
      </c>
      <c r="L290" s="2" t="s">
        <v>18</v>
      </c>
      <c r="M290" s="31">
        <f t="shared" si="42"/>
        <v>2699.82</v>
      </c>
      <c r="N290" s="33">
        <f t="shared" si="43"/>
        <v>2549.83</v>
      </c>
      <c r="O290" s="31" t="str">
        <f t="shared" si="44"/>
        <v>November</v>
      </c>
      <c r="P290" s="33">
        <f t="shared" si="45"/>
        <v>-2414.8389999999999</v>
      </c>
      <c r="Q290" s="33">
        <f t="shared" si="46"/>
        <v>0.99415204678362568</v>
      </c>
      <c r="R290" s="33">
        <f t="shared" si="47"/>
        <v>142.4905</v>
      </c>
      <c r="S290" s="33" t="str">
        <f t="shared" si="48"/>
        <v>Large</v>
      </c>
      <c r="T290" s="33" t="str">
        <f t="shared" si="49"/>
        <v>High</v>
      </c>
    </row>
    <row r="291" spans="1:20" x14ac:dyDescent="0.3">
      <c r="A291" s="5" t="s">
        <v>528</v>
      </c>
      <c r="B291" s="5" t="s">
        <v>526</v>
      </c>
      <c r="C291" s="5" t="s">
        <v>37</v>
      </c>
      <c r="D291" s="5" t="s">
        <v>38</v>
      </c>
      <c r="E291" s="5" t="s">
        <v>29</v>
      </c>
      <c r="F291" s="5" t="s">
        <v>30</v>
      </c>
      <c r="G291" s="5">
        <v>27</v>
      </c>
      <c r="H291" s="6">
        <v>29.99</v>
      </c>
      <c r="I291" s="6">
        <f t="shared" si="40"/>
        <v>809.7299999999999</v>
      </c>
      <c r="J291" s="7">
        <v>8</v>
      </c>
      <c r="K291" s="6">
        <f t="shared" si="41"/>
        <v>744.95159999999998</v>
      </c>
      <c r="L291" s="5" t="s">
        <v>18</v>
      </c>
      <c r="M291" s="31">
        <f t="shared" si="42"/>
        <v>809.7299999999999</v>
      </c>
      <c r="N291" s="33">
        <f t="shared" si="43"/>
        <v>779.7399999999999</v>
      </c>
      <c r="O291" s="31" t="str">
        <f t="shared" si="44"/>
        <v>November</v>
      </c>
      <c r="P291" s="33">
        <f t="shared" si="45"/>
        <v>-714.96159999999998</v>
      </c>
      <c r="Q291" s="33">
        <f t="shared" si="46"/>
        <v>1.0466988727858293</v>
      </c>
      <c r="R291" s="33">
        <f t="shared" si="47"/>
        <v>27.590799999999998</v>
      </c>
      <c r="S291" s="33" t="str">
        <f t="shared" si="48"/>
        <v>Large</v>
      </c>
      <c r="T291" s="33" t="str">
        <f t="shared" si="49"/>
        <v>High</v>
      </c>
    </row>
    <row r="292" spans="1:20" x14ac:dyDescent="0.3">
      <c r="A292" s="2" t="s">
        <v>529</v>
      </c>
      <c r="B292" s="2" t="s">
        <v>530</v>
      </c>
      <c r="C292" s="2" t="s">
        <v>21</v>
      </c>
      <c r="D292" s="2" t="s">
        <v>22</v>
      </c>
      <c r="E292" s="2" t="s">
        <v>103</v>
      </c>
      <c r="F292" s="2" t="s">
        <v>61</v>
      </c>
      <c r="G292" s="2">
        <v>19</v>
      </c>
      <c r="H292" s="3">
        <v>99</v>
      </c>
      <c r="I292" s="3">
        <f t="shared" si="40"/>
        <v>1881</v>
      </c>
      <c r="J292" s="4">
        <v>5</v>
      </c>
      <c r="K292" s="3">
        <f t="shared" si="41"/>
        <v>1786.9499999999998</v>
      </c>
      <c r="L292" s="2" t="s">
        <v>18</v>
      </c>
      <c r="M292" s="31">
        <f t="shared" si="42"/>
        <v>1881</v>
      </c>
      <c r="N292" s="33">
        <f t="shared" si="43"/>
        <v>1782</v>
      </c>
      <c r="O292" s="31" t="str">
        <f t="shared" si="44"/>
        <v>November</v>
      </c>
      <c r="P292" s="33">
        <f t="shared" si="45"/>
        <v>-1687.9499999999998</v>
      </c>
      <c r="Q292" s="33">
        <f t="shared" si="46"/>
        <v>0.99722991689750706</v>
      </c>
      <c r="R292" s="33">
        <f t="shared" si="47"/>
        <v>94.05</v>
      </c>
      <c r="S292" s="33" t="str">
        <f t="shared" si="48"/>
        <v>Large</v>
      </c>
      <c r="T292" s="33" t="str">
        <f t="shared" si="49"/>
        <v>Low</v>
      </c>
    </row>
    <row r="293" spans="1:20" x14ac:dyDescent="0.3">
      <c r="A293" s="8" t="s">
        <v>531</v>
      </c>
      <c r="B293" s="8" t="s">
        <v>530</v>
      </c>
      <c r="C293" s="8" t="s">
        <v>41</v>
      </c>
      <c r="D293" s="8" t="s">
        <v>15</v>
      </c>
      <c r="E293" s="8" t="s">
        <v>39</v>
      </c>
      <c r="F293" s="8" t="s">
        <v>17</v>
      </c>
      <c r="G293" s="8">
        <v>25</v>
      </c>
      <c r="H293" s="9">
        <v>299</v>
      </c>
      <c r="I293" s="9">
        <f t="shared" si="40"/>
        <v>7475</v>
      </c>
      <c r="J293" s="10">
        <v>12</v>
      </c>
      <c r="K293" s="9">
        <f t="shared" si="41"/>
        <v>6578</v>
      </c>
      <c r="L293" s="8" t="s">
        <v>72</v>
      </c>
      <c r="M293" s="31">
        <f t="shared" si="42"/>
        <v>7475</v>
      </c>
      <c r="N293" s="33">
        <f t="shared" si="43"/>
        <v>7176</v>
      </c>
      <c r="O293" s="31" t="str">
        <f t="shared" si="44"/>
        <v>November</v>
      </c>
      <c r="P293" s="33">
        <f t="shared" si="45"/>
        <v>-6279</v>
      </c>
      <c r="Q293" s="33">
        <f t="shared" si="46"/>
        <v>1.0909090909090908</v>
      </c>
      <c r="R293" s="33">
        <f t="shared" si="47"/>
        <v>263.12</v>
      </c>
      <c r="S293" s="33" t="str">
        <f t="shared" si="48"/>
        <v>Large</v>
      </c>
      <c r="T293" s="33" t="str">
        <f t="shared" si="49"/>
        <v>High</v>
      </c>
    </row>
    <row r="294" spans="1:20" x14ac:dyDescent="0.3">
      <c r="A294" s="2" t="s">
        <v>532</v>
      </c>
      <c r="B294" s="2" t="s">
        <v>533</v>
      </c>
      <c r="C294" s="2" t="s">
        <v>55</v>
      </c>
      <c r="D294" s="2" t="s">
        <v>38</v>
      </c>
      <c r="E294" s="2" t="s">
        <v>90</v>
      </c>
      <c r="F294" s="2" t="s">
        <v>24</v>
      </c>
      <c r="G294" s="2">
        <v>5</v>
      </c>
      <c r="H294" s="3">
        <v>149.99</v>
      </c>
      <c r="I294" s="3">
        <f t="shared" si="40"/>
        <v>749.95</v>
      </c>
      <c r="J294" s="4">
        <v>12</v>
      </c>
      <c r="K294" s="3">
        <f t="shared" si="41"/>
        <v>659.95600000000002</v>
      </c>
      <c r="L294" s="2" t="s">
        <v>18</v>
      </c>
      <c r="M294" s="31">
        <f t="shared" si="42"/>
        <v>749.95</v>
      </c>
      <c r="N294" s="33">
        <f t="shared" si="43"/>
        <v>599.96</v>
      </c>
      <c r="O294" s="31" t="str">
        <f t="shared" si="44"/>
        <v>November</v>
      </c>
      <c r="P294" s="33">
        <f t="shared" si="45"/>
        <v>-509.96600000000001</v>
      </c>
      <c r="Q294" s="33">
        <f t="shared" si="46"/>
        <v>0.90909090909090917</v>
      </c>
      <c r="R294" s="33">
        <f t="shared" si="47"/>
        <v>131.99119999999999</v>
      </c>
      <c r="S294" s="33" t="str">
        <f t="shared" si="48"/>
        <v>Small</v>
      </c>
      <c r="T294" s="33" t="str">
        <f t="shared" si="49"/>
        <v>High</v>
      </c>
    </row>
    <row r="295" spans="1:20" x14ac:dyDescent="0.3">
      <c r="A295" s="5" t="s">
        <v>534</v>
      </c>
      <c r="B295" s="5" t="s">
        <v>535</v>
      </c>
      <c r="C295" s="5" t="s">
        <v>49</v>
      </c>
      <c r="D295" s="5" t="s">
        <v>38</v>
      </c>
      <c r="E295" s="5" t="s">
        <v>82</v>
      </c>
      <c r="F295" s="5" t="s">
        <v>61</v>
      </c>
      <c r="G295" s="5">
        <v>19</v>
      </c>
      <c r="H295" s="6">
        <v>59.99</v>
      </c>
      <c r="I295" s="6">
        <f t="shared" si="40"/>
        <v>1139.81</v>
      </c>
      <c r="J295" s="7">
        <v>15</v>
      </c>
      <c r="K295" s="6">
        <f t="shared" si="41"/>
        <v>968.83849999999995</v>
      </c>
      <c r="L295" s="5" t="s">
        <v>18</v>
      </c>
      <c r="M295" s="31">
        <f t="shared" si="42"/>
        <v>1139.81</v>
      </c>
      <c r="N295" s="33">
        <f t="shared" si="43"/>
        <v>1079.82</v>
      </c>
      <c r="O295" s="31" t="str">
        <f t="shared" si="44"/>
        <v>November</v>
      </c>
      <c r="P295" s="33">
        <f t="shared" si="45"/>
        <v>-908.84849999999994</v>
      </c>
      <c r="Q295" s="33">
        <f t="shared" si="46"/>
        <v>1.1145510835913313</v>
      </c>
      <c r="R295" s="33">
        <f t="shared" si="47"/>
        <v>50.991499999999995</v>
      </c>
      <c r="S295" s="33" t="str">
        <f t="shared" si="48"/>
        <v>Large</v>
      </c>
      <c r="T295" s="33" t="str">
        <f t="shared" si="49"/>
        <v>Low</v>
      </c>
    </row>
    <row r="296" spans="1:20" x14ac:dyDescent="0.3">
      <c r="A296" s="11" t="s">
        <v>536</v>
      </c>
      <c r="B296" s="11" t="s">
        <v>535</v>
      </c>
      <c r="C296" s="11" t="s">
        <v>14</v>
      </c>
      <c r="D296" s="11" t="s">
        <v>15</v>
      </c>
      <c r="E296" s="11" t="s">
        <v>188</v>
      </c>
      <c r="F296" s="11" t="s">
        <v>17</v>
      </c>
      <c r="G296" s="11">
        <v>7</v>
      </c>
      <c r="H296" s="12">
        <v>39.99</v>
      </c>
      <c r="I296" s="12">
        <f t="shared" si="40"/>
        <v>279.93</v>
      </c>
      <c r="J296" s="13">
        <v>15</v>
      </c>
      <c r="K296" s="12">
        <f t="shared" si="41"/>
        <v>237.94049999999999</v>
      </c>
      <c r="L296" s="11" t="s">
        <v>72</v>
      </c>
      <c r="M296" s="31">
        <f t="shared" si="42"/>
        <v>279.93</v>
      </c>
      <c r="N296" s="33">
        <f t="shared" si="43"/>
        <v>239.94</v>
      </c>
      <c r="O296" s="31" t="str">
        <f t="shared" si="44"/>
        <v>November</v>
      </c>
      <c r="P296" s="33">
        <f t="shared" si="45"/>
        <v>-197.95049999999998</v>
      </c>
      <c r="Q296" s="33">
        <f t="shared" si="46"/>
        <v>1.0084033613445378</v>
      </c>
      <c r="R296" s="33">
        <f t="shared" si="47"/>
        <v>33.991499999999995</v>
      </c>
      <c r="S296" s="33" t="str">
        <f t="shared" si="48"/>
        <v>Small</v>
      </c>
      <c r="T296" s="33" t="str">
        <f t="shared" si="49"/>
        <v>Low</v>
      </c>
    </row>
    <row r="297" spans="1:20" x14ac:dyDescent="0.3">
      <c r="A297" s="5" t="s">
        <v>537</v>
      </c>
      <c r="B297" s="5" t="s">
        <v>538</v>
      </c>
      <c r="C297" s="5" t="s">
        <v>52</v>
      </c>
      <c r="D297" s="5" t="s">
        <v>33</v>
      </c>
      <c r="E297" s="5" t="s">
        <v>141</v>
      </c>
      <c r="F297" s="5" t="s">
        <v>17</v>
      </c>
      <c r="G297" s="5">
        <v>25</v>
      </c>
      <c r="H297" s="6">
        <v>169</v>
      </c>
      <c r="I297" s="6">
        <f t="shared" si="40"/>
        <v>4225</v>
      </c>
      <c r="J297" s="7">
        <v>10</v>
      </c>
      <c r="K297" s="6">
        <f t="shared" si="41"/>
        <v>3802.5</v>
      </c>
      <c r="L297" s="5" t="s">
        <v>18</v>
      </c>
      <c r="M297" s="31">
        <f t="shared" si="42"/>
        <v>4225</v>
      </c>
      <c r="N297" s="33">
        <f t="shared" si="43"/>
        <v>4056</v>
      </c>
      <c r="O297" s="31" t="str">
        <f t="shared" si="44"/>
        <v>December</v>
      </c>
      <c r="P297" s="33">
        <f t="shared" si="45"/>
        <v>-3633.5</v>
      </c>
      <c r="Q297" s="33">
        <f t="shared" si="46"/>
        <v>1.0666666666666667</v>
      </c>
      <c r="R297" s="33">
        <f t="shared" si="47"/>
        <v>152.1</v>
      </c>
      <c r="S297" s="33" t="str">
        <f t="shared" si="48"/>
        <v>Large</v>
      </c>
      <c r="T297" s="33" t="str">
        <f t="shared" si="49"/>
        <v>Low</v>
      </c>
    </row>
    <row r="298" spans="1:20" x14ac:dyDescent="0.3">
      <c r="A298" s="2" t="s">
        <v>539</v>
      </c>
      <c r="B298" s="2" t="s">
        <v>540</v>
      </c>
      <c r="C298" s="2" t="s">
        <v>80</v>
      </c>
      <c r="D298" s="2" t="s">
        <v>22</v>
      </c>
      <c r="E298" s="2" t="s">
        <v>141</v>
      </c>
      <c r="F298" s="2" t="s">
        <v>17</v>
      </c>
      <c r="G298" s="2">
        <v>29</v>
      </c>
      <c r="H298" s="3">
        <v>169</v>
      </c>
      <c r="I298" s="3">
        <f t="shared" si="40"/>
        <v>4901</v>
      </c>
      <c r="J298" s="4">
        <v>15</v>
      </c>
      <c r="K298" s="3">
        <f t="shared" si="41"/>
        <v>4165.8499999999995</v>
      </c>
      <c r="L298" s="2" t="s">
        <v>18</v>
      </c>
      <c r="M298" s="31">
        <f t="shared" si="42"/>
        <v>4901</v>
      </c>
      <c r="N298" s="33">
        <f t="shared" si="43"/>
        <v>4732</v>
      </c>
      <c r="O298" s="31" t="str">
        <f t="shared" si="44"/>
        <v>December</v>
      </c>
      <c r="P298" s="33">
        <f t="shared" si="45"/>
        <v>-3996.8499999999995</v>
      </c>
      <c r="Q298" s="33">
        <f t="shared" si="46"/>
        <v>1.1359026369168359</v>
      </c>
      <c r="R298" s="33">
        <f t="shared" si="47"/>
        <v>143.64999999999998</v>
      </c>
      <c r="S298" s="33" t="str">
        <f t="shared" si="48"/>
        <v>Large</v>
      </c>
      <c r="T298" s="33" t="str">
        <f t="shared" si="49"/>
        <v>High</v>
      </c>
    </row>
    <row r="299" spans="1:20" x14ac:dyDescent="0.3">
      <c r="A299" s="5" t="s">
        <v>541</v>
      </c>
      <c r="B299" s="5" t="s">
        <v>540</v>
      </c>
      <c r="C299" s="5" t="s">
        <v>21</v>
      </c>
      <c r="D299" s="5" t="s">
        <v>22</v>
      </c>
      <c r="E299" s="5" t="s">
        <v>29</v>
      </c>
      <c r="F299" s="5" t="s">
        <v>30</v>
      </c>
      <c r="G299" s="5">
        <v>28</v>
      </c>
      <c r="H299" s="6">
        <v>29.99</v>
      </c>
      <c r="I299" s="6">
        <f t="shared" si="40"/>
        <v>839.71999999999991</v>
      </c>
      <c r="J299" s="7">
        <v>0</v>
      </c>
      <c r="K299" s="6">
        <f t="shared" si="41"/>
        <v>839.71999999999991</v>
      </c>
      <c r="L299" s="5" t="s">
        <v>18</v>
      </c>
      <c r="M299" s="31">
        <f t="shared" si="42"/>
        <v>839.71999999999991</v>
      </c>
      <c r="N299" s="33">
        <f t="shared" si="43"/>
        <v>809.7299999999999</v>
      </c>
      <c r="O299" s="31" t="str">
        <f t="shared" si="44"/>
        <v>December</v>
      </c>
      <c r="P299" s="33">
        <f t="shared" si="45"/>
        <v>-809.7299999999999</v>
      </c>
      <c r="Q299" s="33">
        <f t="shared" si="46"/>
        <v>0.9642857142857143</v>
      </c>
      <c r="R299" s="33">
        <f t="shared" si="47"/>
        <v>29.99</v>
      </c>
      <c r="S299" s="33" t="str">
        <f t="shared" si="48"/>
        <v>Large</v>
      </c>
      <c r="T299" s="33" t="str">
        <f t="shared" si="49"/>
        <v>High</v>
      </c>
    </row>
    <row r="300" spans="1:20" x14ac:dyDescent="0.3">
      <c r="A300" s="2" t="s">
        <v>542</v>
      </c>
      <c r="B300" s="2" t="s">
        <v>540</v>
      </c>
      <c r="C300" s="2" t="s">
        <v>49</v>
      </c>
      <c r="D300" s="2" t="s">
        <v>38</v>
      </c>
      <c r="E300" s="2" t="s">
        <v>16</v>
      </c>
      <c r="F300" s="2" t="s">
        <v>17</v>
      </c>
      <c r="G300" s="2">
        <v>5</v>
      </c>
      <c r="H300" s="3">
        <v>129</v>
      </c>
      <c r="I300" s="3">
        <f t="shared" si="40"/>
        <v>645</v>
      </c>
      <c r="J300" s="4">
        <v>0</v>
      </c>
      <c r="K300" s="3">
        <f t="shared" si="41"/>
        <v>645</v>
      </c>
      <c r="L300" s="2" t="s">
        <v>18</v>
      </c>
      <c r="M300" s="31">
        <f t="shared" si="42"/>
        <v>645</v>
      </c>
      <c r="N300" s="33">
        <f t="shared" si="43"/>
        <v>516</v>
      </c>
      <c r="O300" s="31" t="str">
        <f t="shared" si="44"/>
        <v>December</v>
      </c>
      <c r="P300" s="33">
        <f t="shared" si="45"/>
        <v>-516</v>
      </c>
      <c r="Q300" s="33">
        <f t="shared" si="46"/>
        <v>0.8</v>
      </c>
      <c r="R300" s="33">
        <f t="shared" si="47"/>
        <v>129</v>
      </c>
      <c r="S300" s="33" t="str">
        <f t="shared" si="48"/>
        <v>Small</v>
      </c>
      <c r="T300" s="33" t="str">
        <f t="shared" si="49"/>
        <v>Low</v>
      </c>
    </row>
    <row r="301" spans="1:20" x14ac:dyDescent="0.3">
      <c r="A301" s="8" t="s">
        <v>543</v>
      </c>
      <c r="B301" s="8" t="s">
        <v>544</v>
      </c>
      <c r="C301" s="8" t="s">
        <v>28</v>
      </c>
      <c r="D301" s="8" t="s">
        <v>22</v>
      </c>
      <c r="E301" s="8" t="s">
        <v>23</v>
      </c>
      <c r="F301" s="8" t="s">
        <v>24</v>
      </c>
      <c r="G301" s="8">
        <v>19</v>
      </c>
      <c r="H301" s="9">
        <v>999</v>
      </c>
      <c r="I301" s="9">
        <f t="shared" si="40"/>
        <v>18981</v>
      </c>
      <c r="J301" s="10">
        <v>15</v>
      </c>
      <c r="K301" s="9">
        <f t="shared" si="41"/>
        <v>16133.85</v>
      </c>
      <c r="L301" s="8" t="s">
        <v>72</v>
      </c>
      <c r="M301" s="31">
        <f t="shared" si="42"/>
        <v>18981</v>
      </c>
      <c r="N301" s="33">
        <f t="shared" si="43"/>
        <v>17982</v>
      </c>
      <c r="O301" s="31" t="str">
        <f t="shared" si="44"/>
        <v>December</v>
      </c>
      <c r="P301" s="33">
        <f t="shared" si="45"/>
        <v>-15134.85</v>
      </c>
      <c r="Q301" s="33">
        <f t="shared" si="46"/>
        <v>1.1145510835913313</v>
      </c>
      <c r="R301" s="33">
        <f t="shared" si="47"/>
        <v>849.15</v>
      </c>
      <c r="S301" s="33" t="str">
        <f t="shared" si="48"/>
        <v>Large</v>
      </c>
      <c r="T301" s="33" t="str">
        <f t="shared" si="49"/>
        <v>Low</v>
      </c>
    </row>
    <row r="302" spans="1:20" x14ac:dyDescent="0.3">
      <c r="A302" s="2" t="s">
        <v>545</v>
      </c>
      <c r="B302" s="2" t="s">
        <v>546</v>
      </c>
      <c r="C302" s="2" t="s">
        <v>80</v>
      </c>
      <c r="D302" s="2" t="s">
        <v>22</v>
      </c>
      <c r="E302" s="2" t="s">
        <v>29</v>
      </c>
      <c r="F302" s="2" t="s">
        <v>30</v>
      </c>
      <c r="G302" s="2">
        <v>3</v>
      </c>
      <c r="H302" s="3">
        <v>29.99</v>
      </c>
      <c r="I302" s="3">
        <f t="shared" si="40"/>
        <v>89.97</v>
      </c>
      <c r="J302" s="4">
        <v>0</v>
      </c>
      <c r="K302" s="3">
        <f t="shared" si="41"/>
        <v>89.97</v>
      </c>
      <c r="L302" s="2" t="s">
        <v>18</v>
      </c>
      <c r="M302" s="31">
        <f t="shared" si="42"/>
        <v>89.97</v>
      </c>
      <c r="N302" s="33">
        <f t="shared" si="43"/>
        <v>59.980000000000004</v>
      </c>
      <c r="O302" s="31" t="str">
        <f t="shared" si="44"/>
        <v>December</v>
      </c>
      <c r="P302" s="33">
        <f t="shared" si="45"/>
        <v>-59.980000000000004</v>
      </c>
      <c r="Q302" s="33">
        <f t="shared" si="46"/>
        <v>0.66666666666666674</v>
      </c>
      <c r="R302" s="33">
        <f t="shared" si="47"/>
        <v>29.99</v>
      </c>
      <c r="S302" s="33" t="str">
        <f t="shared" si="48"/>
        <v>Small</v>
      </c>
      <c r="T302" s="33" t="str">
        <f t="shared" si="49"/>
        <v>High</v>
      </c>
    </row>
    <row r="303" spans="1:20" x14ac:dyDescent="0.3">
      <c r="A303" s="5" t="s">
        <v>547</v>
      </c>
      <c r="B303" s="5" t="s">
        <v>548</v>
      </c>
      <c r="C303" s="5" t="s">
        <v>28</v>
      </c>
      <c r="D303" s="5" t="s">
        <v>22</v>
      </c>
      <c r="E303" s="5" t="s">
        <v>34</v>
      </c>
      <c r="F303" s="5" t="s">
        <v>30</v>
      </c>
      <c r="G303" s="5">
        <v>22</v>
      </c>
      <c r="H303" s="6">
        <v>19.989999999999998</v>
      </c>
      <c r="I303" s="6">
        <f t="shared" si="40"/>
        <v>439.78</v>
      </c>
      <c r="J303" s="7">
        <v>15</v>
      </c>
      <c r="K303" s="6">
        <f t="shared" si="41"/>
        <v>373.81299999999999</v>
      </c>
      <c r="L303" s="5" t="s">
        <v>18</v>
      </c>
      <c r="M303" s="31">
        <f t="shared" si="42"/>
        <v>439.78</v>
      </c>
      <c r="N303" s="33">
        <f t="shared" si="43"/>
        <v>419.78999999999996</v>
      </c>
      <c r="O303" s="31" t="str">
        <f t="shared" si="44"/>
        <v>December</v>
      </c>
      <c r="P303" s="33">
        <f t="shared" si="45"/>
        <v>-353.82299999999998</v>
      </c>
      <c r="Q303" s="33">
        <f t="shared" si="46"/>
        <v>1.1229946524064172</v>
      </c>
      <c r="R303" s="33">
        <f t="shared" si="47"/>
        <v>16.991499999999998</v>
      </c>
      <c r="S303" s="33" t="str">
        <f t="shared" si="48"/>
        <v>Large</v>
      </c>
      <c r="T303" s="33" t="str">
        <f t="shared" si="49"/>
        <v>Low</v>
      </c>
    </row>
    <row r="304" spans="1:20" x14ac:dyDescent="0.3">
      <c r="A304" s="2" t="s">
        <v>549</v>
      </c>
      <c r="B304" s="2" t="s">
        <v>550</v>
      </c>
      <c r="C304" s="2" t="s">
        <v>52</v>
      </c>
      <c r="D304" s="2" t="s">
        <v>33</v>
      </c>
      <c r="E304" s="2" t="s">
        <v>29</v>
      </c>
      <c r="F304" s="2" t="s">
        <v>30</v>
      </c>
      <c r="G304" s="2">
        <v>24</v>
      </c>
      <c r="H304" s="3">
        <v>29.99</v>
      </c>
      <c r="I304" s="3">
        <f t="shared" si="40"/>
        <v>719.76</v>
      </c>
      <c r="J304" s="4">
        <v>0</v>
      </c>
      <c r="K304" s="3">
        <f t="shared" si="41"/>
        <v>719.76</v>
      </c>
      <c r="L304" s="2" t="s">
        <v>18</v>
      </c>
      <c r="M304" s="31">
        <f t="shared" si="42"/>
        <v>719.76</v>
      </c>
      <c r="N304" s="33">
        <f t="shared" si="43"/>
        <v>689.77</v>
      </c>
      <c r="O304" s="31" t="str">
        <f t="shared" si="44"/>
        <v>December</v>
      </c>
      <c r="P304" s="33">
        <f t="shared" si="45"/>
        <v>-689.77</v>
      </c>
      <c r="Q304" s="33">
        <f t="shared" si="46"/>
        <v>0.95833333333333337</v>
      </c>
      <c r="R304" s="33">
        <f t="shared" si="47"/>
        <v>29.99</v>
      </c>
      <c r="S304" s="33" t="str">
        <f t="shared" si="48"/>
        <v>Large</v>
      </c>
      <c r="T304" s="33" t="str">
        <f t="shared" si="49"/>
        <v>Low</v>
      </c>
    </row>
    <row r="305" spans="1:20" x14ac:dyDescent="0.3">
      <c r="A305" s="5" t="s">
        <v>551</v>
      </c>
      <c r="B305" s="5" t="s">
        <v>552</v>
      </c>
      <c r="C305" s="5" t="s">
        <v>37</v>
      </c>
      <c r="D305" s="5" t="s">
        <v>38</v>
      </c>
      <c r="E305" s="5" t="s">
        <v>103</v>
      </c>
      <c r="F305" s="5" t="s">
        <v>61</v>
      </c>
      <c r="G305" s="5">
        <v>28</v>
      </c>
      <c r="H305" s="6">
        <v>99</v>
      </c>
      <c r="I305" s="6">
        <f t="shared" si="40"/>
        <v>2772</v>
      </c>
      <c r="J305" s="7">
        <v>0</v>
      </c>
      <c r="K305" s="6">
        <f t="shared" si="41"/>
        <v>2772</v>
      </c>
      <c r="L305" s="5" t="s">
        <v>18</v>
      </c>
      <c r="M305" s="31">
        <f t="shared" si="42"/>
        <v>2772</v>
      </c>
      <c r="N305" s="33">
        <f t="shared" si="43"/>
        <v>2673</v>
      </c>
      <c r="O305" s="31" t="str">
        <f t="shared" si="44"/>
        <v>December</v>
      </c>
      <c r="P305" s="33">
        <f t="shared" si="45"/>
        <v>-2673</v>
      </c>
      <c r="Q305" s="33">
        <f t="shared" si="46"/>
        <v>0.9642857142857143</v>
      </c>
      <c r="R305" s="33">
        <f t="shared" si="47"/>
        <v>99</v>
      </c>
      <c r="S305" s="33" t="str">
        <f t="shared" si="48"/>
        <v>Large</v>
      </c>
      <c r="T305" s="33" t="str">
        <f t="shared" si="49"/>
        <v>Low</v>
      </c>
    </row>
    <row r="306" spans="1:20" x14ac:dyDescent="0.3">
      <c r="A306" s="2" t="s">
        <v>553</v>
      </c>
      <c r="B306" s="2" t="s">
        <v>552</v>
      </c>
      <c r="C306" s="2" t="s">
        <v>80</v>
      </c>
      <c r="D306" s="2" t="s">
        <v>22</v>
      </c>
      <c r="E306" s="2" t="s">
        <v>23</v>
      </c>
      <c r="F306" s="2" t="s">
        <v>24</v>
      </c>
      <c r="G306" s="2">
        <v>2</v>
      </c>
      <c r="H306" s="3">
        <v>999</v>
      </c>
      <c r="I306" s="3">
        <f t="shared" si="40"/>
        <v>1998</v>
      </c>
      <c r="J306" s="4">
        <v>0</v>
      </c>
      <c r="K306" s="3">
        <f t="shared" si="41"/>
        <v>1998</v>
      </c>
      <c r="L306" s="2" t="s">
        <v>18</v>
      </c>
      <c r="M306" s="31">
        <f t="shared" si="42"/>
        <v>1998</v>
      </c>
      <c r="N306" s="33">
        <f t="shared" si="43"/>
        <v>999</v>
      </c>
      <c r="O306" s="31" t="str">
        <f t="shared" si="44"/>
        <v>December</v>
      </c>
      <c r="P306" s="33">
        <f t="shared" si="45"/>
        <v>-999</v>
      </c>
      <c r="Q306" s="33">
        <f t="shared" si="46"/>
        <v>0.5</v>
      </c>
      <c r="R306" s="33">
        <f t="shared" si="47"/>
        <v>999</v>
      </c>
      <c r="S306" s="33" t="str">
        <f t="shared" si="48"/>
        <v>Small</v>
      </c>
      <c r="T306" s="33" t="str">
        <f t="shared" si="49"/>
        <v>High</v>
      </c>
    </row>
    <row r="307" spans="1:20" x14ac:dyDescent="0.3">
      <c r="A307" s="5" t="s">
        <v>554</v>
      </c>
      <c r="B307" s="5" t="s">
        <v>555</v>
      </c>
      <c r="C307" s="5" t="s">
        <v>37</v>
      </c>
      <c r="D307" s="5" t="s">
        <v>38</v>
      </c>
      <c r="E307" s="5" t="s">
        <v>106</v>
      </c>
      <c r="F307" s="5" t="s">
        <v>17</v>
      </c>
      <c r="G307" s="5">
        <v>20</v>
      </c>
      <c r="H307" s="6">
        <v>199</v>
      </c>
      <c r="I307" s="6">
        <f t="shared" si="40"/>
        <v>3980</v>
      </c>
      <c r="J307" s="7">
        <v>0</v>
      </c>
      <c r="K307" s="6">
        <f t="shared" si="41"/>
        <v>3980</v>
      </c>
      <c r="L307" s="5" t="s">
        <v>18</v>
      </c>
      <c r="M307" s="31">
        <f t="shared" si="42"/>
        <v>3980</v>
      </c>
      <c r="N307" s="33">
        <f t="shared" si="43"/>
        <v>3781</v>
      </c>
      <c r="O307" s="31" t="str">
        <f t="shared" si="44"/>
        <v>December</v>
      </c>
      <c r="P307" s="33">
        <f t="shared" si="45"/>
        <v>-3781</v>
      </c>
      <c r="Q307" s="33">
        <f t="shared" si="46"/>
        <v>0.95</v>
      </c>
      <c r="R307" s="33">
        <f t="shared" si="47"/>
        <v>199</v>
      </c>
      <c r="S307" s="33" t="str">
        <f t="shared" si="48"/>
        <v>Large</v>
      </c>
      <c r="T307" s="33" t="str">
        <f t="shared" si="49"/>
        <v>High</v>
      </c>
    </row>
    <row r="308" spans="1:20" x14ac:dyDescent="0.3">
      <c r="A308" s="2" t="s">
        <v>556</v>
      </c>
      <c r="B308" s="2" t="s">
        <v>557</v>
      </c>
      <c r="C308" s="2" t="s">
        <v>41</v>
      </c>
      <c r="D308" s="2" t="s">
        <v>15</v>
      </c>
      <c r="E308" s="2" t="s">
        <v>106</v>
      </c>
      <c r="F308" s="2" t="s">
        <v>17</v>
      </c>
      <c r="G308" s="2">
        <v>20</v>
      </c>
      <c r="H308" s="3">
        <v>199</v>
      </c>
      <c r="I308" s="3">
        <f t="shared" si="40"/>
        <v>3980</v>
      </c>
      <c r="J308" s="4">
        <v>10</v>
      </c>
      <c r="K308" s="3">
        <f t="shared" si="41"/>
        <v>3582</v>
      </c>
      <c r="L308" s="2" t="s">
        <v>18</v>
      </c>
      <c r="M308" s="31">
        <f t="shared" si="42"/>
        <v>3980</v>
      </c>
      <c r="N308" s="33">
        <f t="shared" si="43"/>
        <v>3781</v>
      </c>
      <c r="O308" s="31" t="str">
        <f t="shared" si="44"/>
        <v>December</v>
      </c>
      <c r="P308" s="33">
        <f t="shared" si="45"/>
        <v>-3383</v>
      </c>
      <c r="Q308" s="33">
        <f t="shared" si="46"/>
        <v>1.0555555555555556</v>
      </c>
      <c r="R308" s="33">
        <f t="shared" si="47"/>
        <v>179.1</v>
      </c>
      <c r="S308" s="33" t="str">
        <f t="shared" si="48"/>
        <v>Large</v>
      </c>
      <c r="T308" s="33" t="str">
        <f t="shared" si="49"/>
        <v>High</v>
      </c>
    </row>
    <row r="309" spans="1:20" x14ac:dyDescent="0.3">
      <c r="A309" s="5" t="s">
        <v>558</v>
      </c>
      <c r="B309" s="5" t="s">
        <v>559</v>
      </c>
      <c r="C309" s="5" t="s">
        <v>14</v>
      </c>
      <c r="D309" s="5" t="s">
        <v>15</v>
      </c>
      <c r="E309" s="5" t="s">
        <v>43</v>
      </c>
      <c r="F309" s="5" t="s">
        <v>24</v>
      </c>
      <c r="G309" s="5">
        <v>16</v>
      </c>
      <c r="H309" s="6">
        <v>399</v>
      </c>
      <c r="I309" s="6">
        <f t="shared" si="40"/>
        <v>6384</v>
      </c>
      <c r="J309" s="7">
        <v>5</v>
      </c>
      <c r="K309" s="6">
        <f t="shared" si="41"/>
        <v>6064.7999999999993</v>
      </c>
      <c r="L309" s="5" t="s">
        <v>18</v>
      </c>
      <c r="M309" s="31">
        <f t="shared" si="42"/>
        <v>6384</v>
      </c>
      <c r="N309" s="33">
        <f t="shared" si="43"/>
        <v>5985</v>
      </c>
      <c r="O309" s="31" t="str">
        <f t="shared" si="44"/>
        <v>December</v>
      </c>
      <c r="P309" s="33">
        <f t="shared" si="45"/>
        <v>-5665.7999999999993</v>
      </c>
      <c r="Q309" s="33">
        <f t="shared" si="46"/>
        <v>0.98684210526315796</v>
      </c>
      <c r="R309" s="33">
        <f t="shared" si="47"/>
        <v>379.04999999999995</v>
      </c>
      <c r="S309" s="33" t="str">
        <f t="shared" si="48"/>
        <v>Large</v>
      </c>
      <c r="T309" s="33" t="str">
        <f t="shared" si="49"/>
        <v>High</v>
      </c>
    </row>
    <row r="310" spans="1:20" x14ac:dyDescent="0.3">
      <c r="A310" s="2" t="s">
        <v>560</v>
      </c>
      <c r="B310" s="2" t="s">
        <v>561</v>
      </c>
      <c r="C310" s="2" t="s">
        <v>49</v>
      </c>
      <c r="D310" s="2" t="s">
        <v>38</v>
      </c>
      <c r="E310" s="2" t="s">
        <v>144</v>
      </c>
      <c r="F310" s="2" t="s">
        <v>30</v>
      </c>
      <c r="G310" s="2">
        <v>16</v>
      </c>
      <c r="H310" s="3">
        <v>79.989999999999995</v>
      </c>
      <c r="I310" s="3">
        <f t="shared" si="40"/>
        <v>1279.8399999999999</v>
      </c>
      <c r="J310" s="4">
        <v>15</v>
      </c>
      <c r="K310" s="3">
        <f t="shared" si="41"/>
        <v>1087.8639999999998</v>
      </c>
      <c r="L310" s="2" t="s">
        <v>18</v>
      </c>
      <c r="M310" s="31">
        <f t="shared" si="42"/>
        <v>1279.8399999999999</v>
      </c>
      <c r="N310" s="33">
        <f t="shared" si="43"/>
        <v>1199.8499999999999</v>
      </c>
      <c r="O310" s="31" t="str">
        <f t="shared" si="44"/>
        <v>December</v>
      </c>
      <c r="P310" s="33">
        <f t="shared" si="45"/>
        <v>-1007.8739999999998</v>
      </c>
      <c r="Q310" s="33">
        <f t="shared" si="46"/>
        <v>1.1029411764705883</v>
      </c>
      <c r="R310" s="33">
        <f t="shared" si="47"/>
        <v>67.991499999999988</v>
      </c>
      <c r="S310" s="33" t="str">
        <f t="shared" si="48"/>
        <v>Large</v>
      </c>
      <c r="T310" s="33" t="str">
        <f t="shared" si="49"/>
        <v>High</v>
      </c>
    </row>
    <row r="311" spans="1:20" x14ac:dyDescent="0.3">
      <c r="A311" s="5" t="s">
        <v>562</v>
      </c>
      <c r="B311" s="5" t="s">
        <v>561</v>
      </c>
      <c r="C311" s="5" t="s">
        <v>55</v>
      </c>
      <c r="D311" s="5" t="s">
        <v>38</v>
      </c>
      <c r="E311" s="5" t="s">
        <v>39</v>
      </c>
      <c r="F311" s="5" t="s">
        <v>17</v>
      </c>
      <c r="G311" s="5">
        <v>15</v>
      </c>
      <c r="H311" s="6">
        <v>299</v>
      </c>
      <c r="I311" s="6">
        <f t="shared" si="40"/>
        <v>4485</v>
      </c>
      <c r="J311" s="7">
        <v>15</v>
      </c>
      <c r="K311" s="6">
        <f t="shared" si="41"/>
        <v>3812.25</v>
      </c>
      <c r="L311" s="5" t="s">
        <v>18</v>
      </c>
      <c r="M311" s="31">
        <f t="shared" si="42"/>
        <v>4485</v>
      </c>
      <c r="N311" s="33">
        <f t="shared" si="43"/>
        <v>4186</v>
      </c>
      <c r="O311" s="31" t="str">
        <f t="shared" si="44"/>
        <v>December</v>
      </c>
      <c r="P311" s="33">
        <f t="shared" si="45"/>
        <v>-3513.25</v>
      </c>
      <c r="Q311" s="33">
        <f t="shared" si="46"/>
        <v>1.0980392156862746</v>
      </c>
      <c r="R311" s="33">
        <f t="shared" si="47"/>
        <v>254.15</v>
      </c>
      <c r="S311" s="33" t="str">
        <f t="shared" si="48"/>
        <v>Large</v>
      </c>
      <c r="T311" s="33" t="str">
        <f t="shared" si="49"/>
        <v>High</v>
      </c>
    </row>
    <row r="312" spans="1:20" x14ac:dyDescent="0.3">
      <c r="A312" s="11" t="s">
        <v>563</v>
      </c>
      <c r="B312" s="11" t="s">
        <v>561</v>
      </c>
      <c r="C312" s="11" t="s">
        <v>21</v>
      </c>
      <c r="D312" s="11" t="s">
        <v>22</v>
      </c>
      <c r="E312" s="11" t="s">
        <v>16</v>
      </c>
      <c r="F312" s="11" t="s">
        <v>17</v>
      </c>
      <c r="G312" s="11">
        <v>16</v>
      </c>
      <c r="H312" s="12">
        <v>129</v>
      </c>
      <c r="I312" s="12">
        <f t="shared" si="40"/>
        <v>2064</v>
      </c>
      <c r="J312" s="13">
        <v>0</v>
      </c>
      <c r="K312" s="12">
        <f t="shared" si="41"/>
        <v>2064</v>
      </c>
      <c r="L312" s="11" t="s">
        <v>72</v>
      </c>
      <c r="M312" s="31">
        <f t="shared" si="42"/>
        <v>2064</v>
      </c>
      <c r="N312" s="33">
        <f t="shared" si="43"/>
        <v>1935</v>
      </c>
      <c r="O312" s="31" t="str">
        <f t="shared" si="44"/>
        <v>December</v>
      </c>
      <c r="P312" s="33">
        <f t="shared" si="45"/>
        <v>-1935</v>
      </c>
      <c r="Q312" s="33">
        <f t="shared" si="46"/>
        <v>0.9375</v>
      </c>
      <c r="R312" s="33">
        <f t="shared" si="47"/>
        <v>129</v>
      </c>
      <c r="S312" s="33" t="str">
        <f t="shared" si="48"/>
        <v>Large</v>
      </c>
      <c r="T312" s="33" t="str">
        <f t="shared" si="49"/>
        <v>High</v>
      </c>
    </row>
    <row r="313" spans="1:20" x14ac:dyDescent="0.3">
      <c r="A313" s="5" t="s">
        <v>564</v>
      </c>
      <c r="B313" s="5" t="s">
        <v>565</v>
      </c>
      <c r="C313" s="5" t="s">
        <v>28</v>
      </c>
      <c r="D313" s="5" t="s">
        <v>22</v>
      </c>
      <c r="E313" s="5" t="s">
        <v>90</v>
      </c>
      <c r="F313" s="5" t="s">
        <v>24</v>
      </c>
      <c r="G313" s="5">
        <v>3</v>
      </c>
      <c r="H313" s="6">
        <v>149.99</v>
      </c>
      <c r="I313" s="6">
        <f t="shared" si="40"/>
        <v>449.97</v>
      </c>
      <c r="J313" s="7">
        <v>12</v>
      </c>
      <c r="K313" s="6">
        <f t="shared" si="41"/>
        <v>395.97360000000003</v>
      </c>
      <c r="L313" s="5" t="s">
        <v>18</v>
      </c>
      <c r="M313" s="31">
        <f t="shared" si="42"/>
        <v>449.97</v>
      </c>
      <c r="N313" s="33">
        <f t="shared" si="43"/>
        <v>299.98</v>
      </c>
      <c r="O313" s="31" t="str">
        <f t="shared" si="44"/>
        <v>December</v>
      </c>
      <c r="P313" s="33">
        <f t="shared" si="45"/>
        <v>-245.98360000000002</v>
      </c>
      <c r="Q313" s="33">
        <f t="shared" si="46"/>
        <v>0.75757575757575757</v>
      </c>
      <c r="R313" s="33">
        <f t="shared" si="47"/>
        <v>131.99120000000002</v>
      </c>
      <c r="S313" s="33" t="str">
        <f t="shared" si="48"/>
        <v>Small</v>
      </c>
      <c r="T313" s="33" t="str">
        <f t="shared" si="49"/>
        <v>High</v>
      </c>
    </row>
    <row r="314" spans="1:20" x14ac:dyDescent="0.3">
      <c r="A314" s="2" t="s">
        <v>566</v>
      </c>
      <c r="B314" s="2" t="s">
        <v>565</v>
      </c>
      <c r="C314" s="2" t="s">
        <v>49</v>
      </c>
      <c r="D314" s="2" t="s">
        <v>38</v>
      </c>
      <c r="E314" s="2" t="s">
        <v>147</v>
      </c>
      <c r="F314" s="2" t="s">
        <v>24</v>
      </c>
      <c r="G314" s="2">
        <v>11</v>
      </c>
      <c r="H314" s="3">
        <v>79.989999999999995</v>
      </c>
      <c r="I314" s="3">
        <f t="shared" si="40"/>
        <v>879.89</v>
      </c>
      <c r="J314" s="4">
        <v>8</v>
      </c>
      <c r="K314" s="3">
        <f t="shared" si="41"/>
        <v>809.49880000000007</v>
      </c>
      <c r="L314" s="2" t="s">
        <v>18</v>
      </c>
      <c r="M314" s="31">
        <f t="shared" si="42"/>
        <v>879.89</v>
      </c>
      <c r="N314" s="33">
        <f t="shared" si="43"/>
        <v>799.9</v>
      </c>
      <c r="O314" s="31" t="str">
        <f t="shared" si="44"/>
        <v>December</v>
      </c>
      <c r="P314" s="33">
        <f t="shared" si="45"/>
        <v>-729.50880000000006</v>
      </c>
      <c r="Q314" s="33">
        <f t="shared" si="46"/>
        <v>0.98814229249011842</v>
      </c>
      <c r="R314" s="33">
        <f t="shared" si="47"/>
        <v>73.590800000000002</v>
      </c>
      <c r="S314" s="33" t="str">
        <f t="shared" si="48"/>
        <v>Large</v>
      </c>
      <c r="T314" s="33" t="str">
        <f t="shared" si="49"/>
        <v>Low</v>
      </c>
    </row>
    <row r="315" spans="1:20" x14ac:dyDescent="0.3">
      <c r="A315" s="5" t="s">
        <v>567</v>
      </c>
      <c r="B315" s="5" t="s">
        <v>568</v>
      </c>
      <c r="C315" s="5" t="s">
        <v>14</v>
      </c>
      <c r="D315" s="5" t="s">
        <v>15</v>
      </c>
      <c r="E315" s="5" t="s">
        <v>90</v>
      </c>
      <c r="F315" s="5" t="s">
        <v>24</v>
      </c>
      <c r="G315" s="5">
        <v>11</v>
      </c>
      <c r="H315" s="6">
        <v>149.99</v>
      </c>
      <c r="I315" s="6">
        <f t="shared" si="40"/>
        <v>1649.89</v>
      </c>
      <c r="J315" s="7">
        <v>5</v>
      </c>
      <c r="K315" s="6">
        <f t="shared" si="41"/>
        <v>1567.3955000000001</v>
      </c>
      <c r="L315" s="5" t="s">
        <v>18</v>
      </c>
      <c r="M315" s="31">
        <f t="shared" si="42"/>
        <v>1649.89</v>
      </c>
      <c r="N315" s="33">
        <f t="shared" si="43"/>
        <v>1499.9</v>
      </c>
      <c r="O315" s="31" t="str">
        <f t="shared" si="44"/>
        <v>December</v>
      </c>
      <c r="P315" s="33">
        <f t="shared" si="45"/>
        <v>-1417.4055000000001</v>
      </c>
      <c r="Q315" s="33">
        <f t="shared" si="46"/>
        <v>0.9569377990430622</v>
      </c>
      <c r="R315" s="33">
        <f t="shared" si="47"/>
        <v>142.4905</v>
      </c>
      <c r="S315" s="33" t="str">
        <f t="shared" si="48"/>
        <v>Large</v>
      </c>
      <c r="T315" s="33" t="str">
        <f t="shared" si="49"/>
        <v>Low</v>
      </c>
    </row>
    <row r="316" spans="1:20" x14ac:dyDescent="0.3">
      <c r="A316" s="2" t="s">
        <v>569</v>
      </c>
      <c r="B316" s="2" t="s">
        <v>568</v>
      </c>
      <c r="C316" s="2" t="s">
        <v>21</v>
      </c>
      <c r="D316" s="2" t="s">
        <v>22</v>
      </c>
      <c r="E316" s="2" t="s">
        <v>29</v>
      </c>
      <c r="F316" s="2" t="s">
        <v>30</v>
      </c>
      <c r="G316" s="2">
        <v>8</v>
      </c>
      <c r="H316" s="3">
        <v>29.99</v>
      </c>
      <c r="I316" s="3">
        <f t="shared" si="40"/>
        <v>239.92</v>
      </c>
      <c r="J316" s="4">
        <v>12</v>
      </c>
      <c r="K316" s="3">
        <f t="shared" si="41"/>
        <v>211.12959999999998</v>
      </c>
      <c r="L316" s="2" t="s">
        <v>18</v>
      </c>
      <c r="M316" s="31">
        <f t="shared" si="42"/>
        <v>239.92</v>
      </c>
      <c r="N316" s="33">
        <f t="shared" si="43"/>
        <v>209.92999999999998</v>
      </c>
      <c r="O316" s="31" t="str">
        <f t="shared" si="44"/>
        <v>December</v>
      </c>
      <c r="P316" s="33">
        <f t="shared" si="45"/>
        <v>-181.13959999999997</v>
      </c>
      <c r="Q316" s="33">
        <f t="shared" si="46"/>
        <v>0.99431818181818177</v>
      </c>
      <c r="R316" s="33">
        <f t="shared" si="47"/>
        <v>26.391199999999998</v>
      </c>
      <c r="S316" s="33" t="str">
        <f t="shared" si="48"/>
        <v>Small</v>
      </c>
      <c r="T316" s="33" t="str">
        <f t="shared" si="49"/>
        <v>High</v>
      </c>
    </row>
    <row r="317" spans="1:20" x14ac:dyDescent="0.3">
      <c r="A317" s="5" t="s">
        <v>570</v>
      </c>
      <c r="B317" s="5" t="s">
        <v>571</v>
      </c>
      <c r="C317" s="5" t="s">
        <v>55</v>
      </c>
      <c r="D317" s="5" t="s">
        <v>38</v>
      </c>
      <c r="E317" s="5" t="s">
        <v>188</v>
      </c>
      <c r="F317" s="5" t="s">
        <v>17</v>
      </c>
      <c r="G317" s="5">
        <v>17</v>
      </c>
      <c r="H317" s="6">
        <v>39.99</v>
      </c>
      <c r="I317" s="6">
        <f t="shared" si="40"/>
        <v>679.83</v>
      </c>
      <c r="J317" s="7">
        <v>5</v>
      </c>
      <c r="K317" s="6">
        <f t="shared" si="41"/>
        <v>645.83849999999995</v>
      </c>
      <c r="L317" s="5" t="s">
        <v>18</v>
      </c>
      <c r="M317" s="31">
        <f t="shared" si="42"/>
        <v>679.83</v>
      </c>
      <c r="N317" s="33">
        <f t="shared" si="43"/>
        <v>639.84</v>
      </c>
      <c r="O317" s="31" t="str">
        <f t="shared" si="44"/>
        <v>December</v>
      </c>
      <c r="P317" s="33">
        <f t="shared" si="45"/>
        <v>-605.84849999999994</v>
      </c>
      <c r="Q317" s="33">
        <f t="shared" si="46"/>
        <v>0.99071207430340569</v>
      </c>
      <c r="R317" s="33">
        <f t="shared" si="47"/>
        <v>37.990499999999997</v>
      </c>
      <c r="S317" s="33" t="str">
        <f t="shared" si="48"/>
        <v>Large</v>
      </c>
      <c r="T317" s="33" t="str">
        <f t="shared" si="49"/>
        <v>Low</v>
      </c>
    </row>
    <row r="318" spans="1:20" x14ac:dyDescent="0.3">
      <c r="A318" s="2" t="s">
        <v>572</v>
      </c>
      <c r="B318" s="2" t="s">
        <v>573</v>
      </c>
      <c r="C318" s="2" t="s">
        <v>41</v>
      </c>
      <c r="D318" s="2" t="s">
        <v>15</v>
      </c>
      <c r="E318" s="2" t="s">
        <v>29</v>
      </c>
      <c r="F318" s="2" t="s">
        <v>30</v>
      </c>
      <c r="G318" s="2">
        <v>7</v>
      </c>
      <c r="H318" s="3">
        <v>29.99</v>
      </c>
      <c r="I318" s="3">
        <f t="shared" si="40"/>
        <v>209.92999999999998</v>
      </c>
      <c r="J318" s="4">
        <v>12</v>
      </c>
      <c r="K318" s="3">
        <f t="shared" si="41"/>
        <v>184.73839999999998</v>
      </c>
      <c r="L318" s="2" t="s">
        <v>18</v>
      </c>
      <c r="M318" s="31">
        <f t="shared" si="42"/>
        <v>209.92999999999998</v>
      </c>
      <c r="N318" s="33">
        <f t="shared" si="43"/>
        <v>179.93999999999997</v>
      </c>
      <c r="O318" s="31" t="str">
        <f t="shared" si="44"/>
        <v>December</v>
      </c>
      <c r="P318" s="33">
        <f t="shared" si="45"/>
        <v>-154.74839999999998</v>
      </c>
      <c r="Q318" s="33">
        <f t="shared" si="46"/>
        <v>0.97402597402597391</v>
      </c>
      <c r="R318" s="33">
        <f t="shared" si="47"/>
        <v>26.391199999999998</v>
      </c>
      <c r="S318" s="33" t="str">
        <f t="shared" si="48"/>
        <v>Small</v>
      </c>
      <c r="T318" s="33" t="str">
        <f t="shared" si="49"/>
        <v>Low</v>
      </c>
    </row>
    <row r="319" spans="1:20" x14ac:dyDescent="0.3">
      <c r="A319" s="8" t="s">
        <v>574</v>
      </c>
      <c r="B319" s="8" t="s">
        <v>575</v>
      </c>
      <c r="C319" s="8" t="s">
        <v>37</v>
      </c>
      <c r="D319" s="8" t="s">
        <v>38</v>
      </c>
      <c r="E319" s="8" t="s">
        <v>43</v>
      </c>
      <c r="F319" s="8" t="s">
        <v>24</v>
      </c>
      <c r="G319" s="8">
        <v>25</v>
      </c>
      <c r="H319" s="9">
        <v>399</v>
      </c>
      <c r="I319" s="9">
        <f t="shared" si="40"/>
        <v>9975</v>
      </c>
      <c r="J319" s="10">
        <v>5</v>
      </c>
      <c r="K319" s="9">
        <f t="shared" si="41"/>
        <v>9476.25</v>
      </c>
      <c r="L319" s="8" t="s">
        <v>72</v>
      </c>
      <c r="M319" s="31">
        <f t="shared" si="42"/>
        <v>9975</v>
      </c>
      <c r="N319" s="33">
        <f t="shared" si="43"/>
        <v>9576</v>
      </c>
      <c r="O319" s="31" t="str">
        <f t="shared" si="44"/>
        <v>December</v>
      </c>
      <c r="P319" s="33">
        <f t="shared" si="45"/>
        <v>-9077.25</v>
      </c>
      <c r="Q319" s="33">
        <f t="shared" si="46"/>
        <v>1.0105263157894737</v>
      </c>
      <c r="R319" s="33">
        <f t="shared" si="47"/>
        <v>379.05</v>
      </c>
      <c r="S319" s="33" t="str">
        <f t="shared" si="48"/>
        <v>Large</v>
      </c>
      <c r="T319" s="33" t="str">
        <f t="shared" si="49"/>
        <v>Low</v>
      </c>
    </row>
    <row r="320" spans="1:20" x14ac:dyDescent="0.3">
      <c r="A320" s="2" t="s">
        <v>576</v>
      </c>
      <c r="B320" s="2" t="s">
        <v>577</v>
      </c>
      <c r="C320" s="2" t="s">
        <v>37</v>
      </c>
      <c r="D320" s="2" t="s">
        <v>38</v>
      </c>
      <c r="E320" s="2" t="s">
        <v>99</v>
      </c>
      <c r="F320" s="2" t="s">
        <v>30</v>
      </c>
      <c r="G320" s="2">
        <v>19</v>
      </c>
      <c r="H320" s="3">
        <v>89.99</v>
      </c>
      <c r="I320" s="3">
        <f t="shared" si="40"/>
        <v>1709.81</v>
      </c>
      <c r="J320" s="4">
        <v>0</v>
      </c>
      <c r="K320" s="3">
        <f t="shared" si="41"/>
        <v>1709.81</v>
      </c>
      <c r="L320" s="2" t="s">
        <v>18</v>
      </c>
      <c r="M320" s="31">
        <f t="shared" si="42"/>
        <v>1709.81</v>
      </c>
      <c r="N320" s="33">
        <f t="shared" si="43"/>
        <v>1619.82</v>
      </c>
      <c r="O320" s="31" t="str">
        <f t="shared" si="44"/>
        <v>December</v>
      </c>
      <c r="P320" s="33">
        <f t="shared" si="45"/>
        <v>-1619.82</v>
      </c>
      <c r="Q320" s="33">
        <f t="shared" si="46"/>
        <v>0.94736842105263153</v>
      </c>
      <c r="R320" s="33">
        <f t="shared" si="47"/>
        <v>89.99</v>
      </c>
      <c r="S320" s="33" t="str">
        <f t="shared" si="48"/>
        <v>Large</v>
      </c>
      <c r="T320" s="33" t="str">
        <f t="shared" si="49"/>
        <v>High</v>
      </c>
    </row>
    <row r="321" spans="1:20" x14ac:dyDescent="0.3">
      <c r="A321" s="5" t="s">
        <v>578</v>
      </c>
      <c r="B321" s="5" t="s">
        <v>579</v>
      </c>
      <c r="C321" s="5" t="s">
        <v>37</v>
      </c>
      <c r="D321" s="5" t="s">
        <v>38</v>
      </c>
      <c r="E321" s="5" t="s">
        <v>39</v>
      </c>
      <c r="F321" s="5" t="s">
        <v>17</v>
      </c>
      <c r="G321" s="5">
        <v>16</v>
      </c>
      <c r="H321" s="6">
        <v>299</v>
      </c>
      <c r="I321" s="6">
        <f t="shared" si="40"/>
        <v>4784</v>
      </c>
      <c r="J321" s="7">
        <v>5</v>
      </c>
      <c r="K321" s="6">
        <f t="shared" si="41"/>
        <v>4544.8</v>
      </c>
      <c r="L321" s="5" t="s">
        <v>18</v>
      </c>
      <c r="M321" s="31">
        <f t="shared" si="42"/>
        <v>4784</v>
      </c>
      <c r="N321" s="33">
        <f t="shared" si="43"/>
        <v>4485</v>
      </c>
      <c r="O321" s="31" t="str">
        <f t="shared" si="44"/>
        <v>December</v>
      </c>
      <c r="P321" s="33">
        <f t="shared" si="45"/>
        <v>-4245.8</v>
      </c>
      <c r="Q321" s="33">
        <f t="shared" si="46"/>
        <v>0.98684210526315785</v>
      </c>
      <c r="R321" s="33">
        <f t="shared" si="47"/>
        <v>284.05</v>
      </c>
      <c r="S321" s="33" t="str">
        <f t="shared" si="48"/>
        <v>Large</v>
      </c>
      <c r="T321" s="33" t="str">
        <f t="shared" si="49"/>
        <v>High</v>
      </c>
    </row>
    <row r="322" spans="1:20" x14ac:dyDescent="0.3">
      <c r="A322" s="2" t="s">
        <v>580</v>
      </c>
      <c r="B322" s="2" t="s">
        <v>581</v>
      </c>
      <c r="C322" s="2" t="s">
        <v>21</v>
      </c>
      <c r="D322" s="2" t="s">
        <v>22</v>
      </c>
      <c r="E322" s="2" t="s">
        <v>144</v>
      </c>
      <c r="F322" s="2" t="s">
        <v>30</v>
      </c>
      <c r="G322" s="2">
        <v>9</v>
      </c>
      <c r="H322" s="3">
        <v>79.989999999999995</v>
      </c>
      <c r="I322" s="3">
        <f t="shared" ref="I322:I385" si="50">H322*G322</f>
        <v>719.91</v>
      </c>
      <c r="J322" s="4">
        <v>0</v>
      </c>
      <c r="K322" s="3">
        <f t="shared" ref="K322:K385" si="51">I322*(1-J322/100)</f>
        <v>719.91</v>
      </c>
      <c r="L322" s="2" t="s">
        <v>18</v>
      </c>
      <c r="M322" s="31">
        <f t="shared" si="42"/>
        <v>719.91</v>
      </c>
      <c r="N322" s="33">
        <f t="shared" si="43"/>
        <v>639.91999999999996</v>
      </c>
      <c r="O322" s="31" t="str">
        <f t="shared" si="44"/>
        <v>January</v>
      </c>
      <c r="P322" s="33">
        <f t="shared" si="45"/>
        <v>-639.91999999999996</v>
      </c>
      <c r="Q322" s="33">
        <f t="shared" si="46"/>
        <v>0.88888888888888884</v>
      </c>
      <c r="R322" s="33">
        <f t="shared" si="47"/>
        <v>79.989999999999995</v>
      </c>
      <c r="S322" s="33" t="str">
        <f t="shared" si="48"/>
        <v>Small</v>
      </c>
      <c r="T322" s="33" t="str">
        <f t="shared" si="49"/>
        <v>High</v>
      </c>
    </row>
    <row r="323" spans="1:20" x14ac:dyDescent="0.3">
      <c r="A323" s="5" t="s">
        <v>582</v>
      </c>
      <c r="B323" s="5" t="s">
        <v>583</v>
      </c>
      <c r="C323" s="5" t="s">
        <v>37</v>
      </c>
      <c r="D323" s="5" t="s">
        <v>38</v>
      </c>
      <c r="E323" s="5" t="s">
        <v>144</v>
      </c>
      <c r="F323" s="5" t="s">
        <v>30</v>
      </c>
      <c r="G323" s="5">
        <v>29</v>
      </c>
      <c r="H323" s="6">
        <v>79.989999999999995</v>
      </c>
      <c r="I323" s="6">
        <f t="shared" si="50"/>
        <v>2319.71</v>
      </c>
      <c r="J323" s="7">
        <v>0</v>
      </c>
      <c r="K323" s="6">
        <f t="shared" si="51"/>
        <v>2319.71</v>
      </c>
      <c r="L323" s="5" t="s">
        <v>18</v>
      </c>
      <c r="M323" s="31">
        <f t="shared" ref="M323:M386" si="52">G323*H323</f>
        <v>2319.71</v>
      </c>
      <c r="N323" s="33">
        <f t="shared" ref="N323:N386" si="53">M323-H323</f>
        <v>2239.7200000000003</v>
      </c>
      <c r="O323" s="31" t="str">
        <f t="shared" ref="O323:O386" si="54">TEXT(B323,"MMMM")</f>
        <v>January</v>
      </c>
      <c r="P323" s="33">
        <f t="shared" ref="P323:P386" si="55">H323-K323</f>
        <v>-2239.7200000000003</v>
      </c>
      <c r="Q323" s="33">
        <f t="shared" ref="Q323:Q386" si="56">N323/K323</f>
        <v>0.96551724137931039</v>
      </c>
      <c r="R323" s="33">
        <f t="shared" ref="R323:R386" si="57">K323/G323</f>
        <v>79.989999999999995</v>
      </c>
      <c r="S323" s="33" t="str">
        <f t="shared" ref="S323:S386" si="58">IF(G323&gt;=10,"Large","Small")</f>
        <v>Large</v>
      </c>
      <c r="T323" s="33" t="str">
        <f t="shared" ref="T323:T386" si="59">IF(K322&gt;1000,"High","Low")</f>
        <v>Low</v>
      </c>
    </row>
    <row r="324" spans="1:20" x14ac:dyDescent="0.3">
      <c r="A324" s="2" t="s">
        <v>584</v>
      </c>
      <c r="B324" s="2" t="s">
        <v>585</v>
      </c>
      <c r="C324" s="2" t="s">
        <v>55</v>
      </c>
      <c r="D324" s="2" t="s">
        <v>38</v>
      </c>
      <c r="E324" s="2" t="s">
        <v>29</v>
      </c>
      <c r="F324" s="2" t="s">
        <v>30</v>
      </c>
      <c r="G324" s="2">
        <v>25</v>
      </c>
      <c r="H324" s="3">
        <v>29.99</v>
      </c>
      <c r="I324" s="3">
        <f t="shared" si="50"/>
        <v>749.75</v>
      </c>
      <c r="J324" s="4">
        <v>8</v>
      </c>
      <c r="K324" s="3">
        <f t="shared" si="51"/>
        <v>689.77</v>
      </c>
      <c r="L324" s="2" t="s">
        <v>18</v>
      </c>
      <c r="M324" s="31">
        <f t="shared" si="52"/>
        <v>749.75</v>
      </c>
      <c r="N324" s="33">
        <f t="shared" si="53"/>
        <v>719.76</v>
      </c>
      <c r="O324" s="31" t="str">
        <f t="shared" si="54"/>
        <v>January</v>
      </c>
      <c r="P324" s="33">
        <f t="shared" si="55"/>
        <v>-659.78</v>
      </c>
      <c r="Q324" s="33">
        <f t="shared" si="56"/>
        <v>1.0434782608695652</v>
      </c>
      <c r="R324" s="33">
        <f t="shared" si="57"/>
        <v>27.590799999999998</v>
      </c>
      <c r="S324" s="33" t="str">
        <f t="shared" si="58"/>
        <v>Large</v>
      </c>
      <c r="T324" s="33" t="str">
        <f t="shared" si="59"/>
        <v>High</v>
      </c>
    </row>
    <row r="325" spans="1:20" x14ac:dyDescent="0.3">
      <c r="A325" s="5" t="s">
        <v>586</v>
      </c>
      <c r="B325" s="5" t="s">
        <v>585</v>
      </c>
      <c r="C325" s="5" t="s">
        <v>14</v>
      </c>
      <c r="D325" s="5" t="s">
        <v>15</v>
      </c>
      <c r="E325" s="5" t="s">
        <v>87</v>
      </c>
      <c r="F325" s="5" t="s">
        <v>61</v>
      </c>
      <c r="G325" s="5">
        <v>23</v>
      </c>
      <c r="H325" s="6">
        <v>299</v>
      </c>
      <c r="I325" s="6">
        <f t="shared" si="50"/>
        <v>6877</v>
      </c>
      <c r="J325" s="7">
        <v>0</v>
      </c>
      <c r="K325" s="6">
        <f t="shared" si="51"/>
        <v>6877</v>
      </c>
      <c r="L325" s="5" t="s">
        <v>18</v>
      </c>
      <c r="M325" s="31">
        <f t="shared" si="52"/>
        <v>6877</v>
      </c>
      <c r="N325" s="33">
        <f t="shared" si="53"/>
        <v>6578</v>
      </c>
      <c r="O325" s="31" t="str">
        <f t="shared" si="54"/>
        <v>January</v>
      </c>
      <c r="P325" s="33">
        <f t="shared" si="55"/>
        <v>-6578</v>
      </c>
      <c r="Q325" s="33">
        <f t="shared" si="56"/>
        <v>0.95652173913043481</v>
      </c>
      <c r="R325" s="33">
        <f t="shared" si="57"/>
        <v>299</v>
      </c>
      <c r="S325" s="33" t="str">
        <f t="shared" si="58"/>
        <v>Large</v>
      </c>
      <c r="T325" s="33" t="str">
        <f t="shared" si="59"/>
        <v>Low</v>
      </c>
    </row>
    <row r="326" spans="1:20" x14ac:dyDescent="0.3">
      <c r="A326" s="2" t="s">
        <v>587</v>
      </c>
      <c r="B326" s="2" t="s">
        <v>585</v>
      </c>
      <c r="C326" s="2" t="s">
        <v>49</v>
      </c>
      <c r="D326" s="2" t="s">
        <v>38</v>
      </c>
      <c r="E326" s="2" t="s">
        <v>43</v>
      </c>
      <c r="F326" s="2" t="s">
        <v>24</v>
      </c>
      <c r="G326" s="2">
        <v>17</v>
      </c>
      <c r="H326" s="3">
        <v>399</v>
      </c>
      <c r="I326" s="3">
        <f t="shared" si="50"/>
        <v>6783</v>
      </c>
      <c r="J326" s="4">
        <v>12</v>
      </c>
      <c r="K326" s="3">
        <f t="shared" si="51"/>
        <v>5969.04</v>
      </c>
      <c r="L326" s="2" t="s">
        <v>18</v>
      </c>
      <c r="M326" s="31">
        <f t="shared" si="52"/>
        <v>6783</v>
      </c>
      <c r="N326" s="33">
        <f t="shared" si="53"/>
        <v>6384</v>
      </c>
      <c r="O326" s="31" t="str">
        <f t="shared" si="54"/>
        <v>January</v>
      </c>
      <c r="P326" s="33">
        <f t="shared" si="55"/>
        <v>-5570.04</v>
      </c>
      <c r="Q326" s="33">
        <f t="shared" si="56"/>
        <v>1.0695187165775402</v>
      </c>
      <c r="R326" s="33">
        <f t="shared" si="57"/>
        <v>351.12</v>
      </c>
      <c r="S326" s="33" t="str">
        <f t="shared" si="58"/>
        <v>Large</v>
      </c>
      <c r="T326" s="33" t="str">
        <f t="shared" si="59"/>
        <v>High</v>
      </c>
    </row>
    <row r="327" spans="1:20" x14ac:dyDescent="0.3">
      <c r="A327" s="5" t="s">
        <v>588</v>
      </c>
      <c r="B327" s="5" t="s">
        <v>589</v>
      </c>
      <c r="C327" s="5" t="s">
        <v>52</v>
      </c>
      <c r="D327" s="5" t="s">
        <v>33</v>
      </c>
      <c r="E327" s="5" t="s">
        <v>157</v>
      </c>
      <c r="F327" s="5" t="s">
        <v>17</v>
      </c>
      <c r="G327" s="5">
        <v>1</v>
      </c>
      <c r="H327" s="6">
        <v>449</v>
      </c>
      <c r="I327" s="6">
        <f t="shared" si="50"/>
        <v>449</v>
      </c>
      <c r="J327" s="7">
        <v>0</v>
      </c>
      <c r="K327" s="6">
        <f t="shared" si="51"/>
        <v>449</v>
      </c>
      <c r="L327" s="5" t="s">
        <v>18</v>
      </c>
      <c r="M327" s="31">
        <f t="shared" si="52"/>
        <v>449</v>
      </c>
      <c r="N327" s="33">
        <f t="shared" si="53"/>
        <v>0</v>
      </c>
      <c r="O327" s="31" t="str">
        <f t="shared" si="54"/>
        <v>January</v>
      </c>
      <c r="P327" s="33">
        <f t="shared" si="55"/>
        <v>0</v>
      </c>
      <c r="Q327" s="33">
        <f t="shared" si="56"/>
        <v>0</v>
      </c>
      <c r="R327" s="33">
        <f t="shared" si="57"/>
        <v>449</v>
      </c>
      <c r="S327" s="33" t="str">
        <f t="shared" si="58"/>
        <v>Small</v>
      </c>
      <c r="T327" s="33" t="str">
        <f t="shared" si="59"/>
        <v>High</v>
      </c>
    </row>
    <row r="328" spans="1:20" x14ac:dyDescent="0.3">
      <c r="A328" s="2" t="s">
        <v>590</v>
      </c>
      <c r="B328" s="2" t="s">
        <v>589</v>
      </c>
      <c r="C328" s="2" t="s">
        <v>80</v>
      </c>
      <c r="D328" s="2" t="s">
        <v>22</v>
      </c>
      <c r="E328" s="2" t="s">
        <v>106</v>
      </c>
      <c r="F328" s="2" t="s">
        <v>17</v>
      </c>
      <c r="G328" s="2">
        <v>18</v>
      </c>
      <c r="H328" s="3">
        <v>199</v>
      </c>
      <c r="I328" s="3">
        <f t="shared" si="50"/>
        <v>3582</v>
      </c>
      <c r="J328" s="4">
        <v>5</v>
      </c>
      <c r="K328" s="3">
        <f t="shared" si="51"/>
        <v>3402.8999999999996</v>
      </c>
      <c r="L328" s="2" t="s">
        <v>18</v>
      </c>
      <c r="M328" s="31">
        <f t="shared" si="52"/>
        <v>3582</v>
      </c>
      <c r="N328" s="33">
        <f t="shared" si="53"/>
        <v>3383</v>
      </c>
      <c r="O328" s="31" t="str">
        <f t="shared" si="54"/>
        <v>January</v>
      </c>
      <c r="P328" s="33">
        <f t="shared" si="55"/>
        <v>-3203.8999999999996</v>
      </c>
      <c r="Q328" s="33">
        <f t="shared" si="56"/>
        <v>0.99415204678362579</v>
      </c>
      <c r="R328" s="33">
        <f t="shared" si="57"/>
        <v>189.04999999999998</v>
      </c>
      <c r="S328" s="33" t="str">
        <f t="shared" si="58"/>
        <v>Large</v>
      </c>
      <c r="T328" s="33" t="str">
        <f t="shared" si="59"/>
        <v>Low</v>
      </c>
    </row>
    <row r="329" spans="1:20" x14ac:dyDescent="0.3">
      <c r="A329" s="5" t="s">
        <v>591</v>
      </c>
      <c r="B329" s="5" t="s">
        <v>592</v>
      </c>
      <c r="C329" s="5" t="s">
        <v>80</v>
      </c>
      <c r="D329" s="5" t="s">
        <v>22</v>
      </c>
      <c r="E329" s="5" t="s">
        <v>43</v>
      </c>
      <c r="F329" s="5" t="s">
        <v>24</v>
      </c>
      <c r="G329" s="5">
        <v>22</v>
      </c>
      <c r="H329" s="6">
        <v>399</v>
      </c>
      <c r="I329" s="6">
        <f t="shared" si="50"/>
        <v>8778</v>
      </c>
      <c r="J329" s="7">
        <v>10</v>
      </c>
      <c r="K329" s="6">
        <f t="shared" si="51"/>
        <v>7900.2</v>
      </c>
      <c r="L329" s="5" t="s">
        <v>18</v>
      </c>
      <c r="M329" s="31">
        <f t="shared" si="52"/>
        <v>8778</v>
      </c>
      <c r="N329" s="33">
        <f t="shared" si="53"/>
        <v>8379</v>
      </c>
      <c r="O329" s="31" t="str">
        <f t="shared" si="54"/>
        <v>January</v>
      </c>
      <c r="P329" s="33">
        <f t="shared" si="55"/>
        <v>-7501.2</v>
      </c>
      <c r="Q329" s="33">
        <f t="shared" si="56"/>
        <v>1.0606060606060606</v>
      </c>
      <c r="R329" s="33">
        <f t="shared" si="57"/>
        <v>359.09999999999997</v>
      </c>
      <c r="S329" s="33" t="str">
        <f t="shared" si="58"/>
        <v>Large</v>
      </c>
      <c r="T329" s="33" t="str">
        <f t="shared" si="59"/>
        <v>High</v>
      </c>
    </row>
    <row r="330" spans="1:20" x14ac:dyDescent="0.3">
      <c r="A330" s="2" t="s">
        <v>593</v>
      </c>
      <c r="B330" s="2" t="s">
        <v>594</v>
      </c>
      <c r="C330" s="2" t="s">
        <v>21</v>
      </c>
      <c r="D330" s="2" t="s">
        <v>22</v>
      </c>
      <c r="E330" s="2" t="s">
        <v>90</v>
      </c>
      <c r="F330" s="2" t="s">
        <v>24</v>
      </c>
      <c r="G330" s="2">
        <v>7</v>
      </c>
      <c r="H330" s="3">
        <v>149.99</v>
      </c>
      <c r="I330" s="3">
        <f t="shared" si="50"/>
        <v>1049.93</v>
      </c>
      <c r="J330" s="4">
        <v>0</v>
      </c>
      <c r="K330" s="3">
        <f t="shared" si="51"/>
        <v>1049.93</v>
      </c>
      <c r="L330" s="2" t="s">
        <v>18</v>
      </c>
      <c r="M330" s="31">
        <f t="shared" si="52"/>
        <v>1049.93</v>
      </c>
      <c r="N330" s="33">
        <f t="shared" si="53"/>
        <v>899.94</v>
      </c>
      <c r="O330" s="31" t="str">
        <f t="shared" si="54"/>
        <v>January</v>
      </c>
      <c r="P330" s="33">
        <f t="shared" si="55"/>
        <v>-899.94</v>
      </c>
      <c r="Q330" s="33">
        <f t="shared" si="56"/>
        <v>0.8571428571428571</v>
      </c>
      <c r="R330" s="33">
        <f t="shared" si="57"/>
        <v>149.99</v>
      </c>
      <c r="S330" s="33" t="str">
        <f t="shared" si="58"/>
        <v>Small</v>
      </c>
      <c r="T330" s="33" t="str">
        <f t="shared" si="59"/>
        <v>High</v>
      </c>
    </row>
    <row r="331" spans="1:20" x14ac:dyDescent="0.3">
      <c r="A331" s="14" t="s">
        <v>595</v>
      </c>
      <c r="B331" s="14" t="s">
        <v>594</v>
      </c>
      <c r="C331" s="14" t="s">
        <v>21</v>
      </c>
      <c r="D331" s="14" t="s">
        <v>22</v>
      </c>
      <c r="E331" s="14" t="s">
        <v>144</v>
      </c>
      <c r="F331" s="14" t="s">
        <v>30</v>
      </c>
      <c r="G331" s="14">
        <v>26</v>
      </c>
      <c r="H331" s="15">
        <v>79.989999999999995</v>
      </c>
      <c r="I331" s="15">
        <f t="shared" si="50"/>
        <v>2079.7399999999998</v>
      </c>
      <c r="J331" s="16">
        <v>8</v>
      </c>
      <c r="K331" s="15">
        <f t="shared" si="51"/>
        <v>1913.3607999999999</v>
      </c>
      <c r="L331" s="14" t="s">
        <v>132</v>
      </c>
      <c r="M331" s="31">
        <f t="shared" si="52"/>
        <v>2079.7399999999998</v>
      </c>
      <c r="N331" s="33">
        <f t="shared" si="53"/>
        <v>1999.7499999999998</v>
      </c>
      <c r="O331" s="31" t="str">
        <f t="shared" si="54"/>
        <v>January</v>
      </c>
      <c r="P331" s="33">
        <f t="shared" si="55"/>
        <v>-1833.3707999999999</v>
      </c>
      <c r="Q331" s="33">
        <f t="shared" si="56"/>
        <v>1.0451505016722407</v>
      </c>
      <c r="R331" s="33">
        <f t="shared" si="57"/>
        <v>73.590800000000002</v>
      </c>
      <c r="S331" s="33" t="str">
        <f t="shared" si="58"/>
        <v>Large</v>
      </c>
      <c r="T331" s="33" t="str">
        <f t="shared" si="59"/>
        <v>High</v>
      </c>
    </row>
    <row r="332" spans="1:20" x14ac:dyDescent="0.3">
      <c r="A332" s="2" t="s">
        <v>596</v>
      </c>
      <c r="B332" s="2" t="s">
        <v>597</v>
      </c>
      <c r="C332" s="2" t="s">
        <v>52</v>
      </c>
      <c r="D332" s="2" t="s">
        <v>33</v>
      </c>
      <c r="E332" s="2" t="s">
        <v>90</v>
      </c>
      <c r="F332" s="2" t="s">
        <v>24</v>
      </c>
      <c r="G332" s="2">
        <v>16</v>
      </c>
      <c r="H332" s="3">
        <v>149.99</v>
      </c>
      <c r="I332" s="3">
        <f t="shared" si="50"/>
        <v>2399.84</v>
      </c>
      <c r="J332" s="4">
        <v>12</v>
      </c>
      <c r="K332" s="3">
        <f t="shared" si="51"/>
        <v>2111.8592000000003</v>
      </c>
      <c r="L332" s="2" t="s">
        <v>18</v>
      </c>
      <c r="M332" s="31">
        <f t="shared" si="52"/>
        <v>2399.84</v>
      </c>
      <c r="N332" s="33">
        <f t="shared" si="53"/>
        <v>2249.8500000000004</v>
      </c>
      <c r="O332" s="31" t="str">
        <f t="shared" si="54"/>
        <v>January</v>
      </c>
      <c r="P332" s="33">
        <f t="shared" si="55"/>
        <v>-1961.8692000000003</v>
      </c>
      <c r="Q332" s="33">
        <f t="shared" si="56"/>
        <v>1.0653409090909092</v>
      </c>
      <c r="R332" s="33">
        <f t="shared" si="57"/>
        <v>131.99120000000002</v>
      </c>
      <c r="S332" s="33" t="str">
        <f t="shared" si="58"/>
        <v>Large</v>
      </c>
      <c r="T332" s="33" t="str">
        <f t="shared" si="59"/>
        <v>High</v>
      </c>
    </row>
    <row r="333" spans="1:20" x14ac:dyDescent="0.3">
      <c r="A333" s="5" t="s">
        <v>598</v>
      </c>
      <c r="B333" s="5" t="s">
        <v>597</v>
      </c>
      <c r="C333" s="5" t="s">
        <v>55</v>
      </c>
      <c r="D333" s="5" t="s">
        <v>38</v>
      </c>
      <c r="E333" s="5" t="s">
        <v>82</v>
      </c>
      <c r="F333" s="5" t="s">
        <v>61</v>
      </c>
      <c r="G333" s="5">
        <v>30</v>
      </c>
      <c r="H333" s="6">
        <v>59.99</v>
      </c>
      <c r="I333" s="6">
        <f t="shared" si="50"/>
        <v>1799.7</v>
      </c>
      <c r="J333" s="7">
        <v>5</v>
      </c>
      <c r="K333" s="6">
        <f t="shared" si="51"/>
        <v>1709.7149999999999</v>
      </c>
      <c r="L333" s="5" t="s">
        <v>18</v>
      </c>
      <c r="M333" s="31">
        <f t="shared" si="52"/>
        <v>1799.7</v>
      </c>
      <c r="N333" s="33">
        <f t="shared" si="53"/>
        <v>1739.71</v>
      </c>
      <c r="O333" s="31" t="str">
        <f t="shared" si="54"/>
        <v>January</v>
      </c>
      <c r="P333" s="33">
        <f t="shared" si="55"/>
        <v>-1649.7249999999999</v>
      </c>
      <c r="Q333" s="33">
        <f t="shared" si="56"/>
        <v>1.0175438596491229</v>
      </c>
      <c r="R333" s="33">
        <f t="shared" si="57"/>
        <v>56.990499999999997</v>
      </c>
      <c r="S333" s="33" t="str">
        <f t="shared" si="58"/>
        <v>Large</v>
      </c>
      <c r="T333" s="33" t="str">
        <f t="shared" si="59"/>
        <v>High</v>
      </c>
    </row>
    <row r="334" spans="1:20" x14ac:dyDescent="0.3">
      <c r="A334" s="2" t="s">
        <v>599</v>
      </c>
      <c r="B334" s="2" t="s">
        <v>600</v>
      </c>
      <c r="C334" s="2" t="s">
        <v>49</v>
      </c>
      <c r="D334" s="2" t="s">
        <v>38</v>
      </c>
      <c r="E334" s="2" t="s">
        <v>74</v>
      </c>
      <c r="F334" s="2" t="s">
        <v>30</v>
      </c>
      <c r="G334" s="2">
        <v>16</v>
      </c>
      <c r="H334" s="3">
        <v>49.99</v>
      </c>
      <c r="I334" s="3">
        <f t="shared" si="50"/>
        <v>799.84</v>
      </c>
      <c r="J334" s="4">
        <v>0</v>
      </c>
      <c r="K334" s="3">
        <f t="shared" si="51"/>
        <v>799.84</v>
      </c>
      <c r="L334" s="2" t="s">
        <v>18</v>
      </c>
      <c r="M334" s="31">
        <f t="shared" si="52"/>
        <v>799.84</v>
      </c>
      <c r="N334" s="33">
        <f t="shared" si="53"/>
        <v>749.85</v>
      </c>
      <c r="O334" s="31" t="str">
        <f t="shared" si="54"/>
        <v>January</v>
      </c>
      <c r="P334" s="33">
        <f t="shared" si="55"/>
        <v>-749.85</v>
      </c>
      <c r="Q334" s="33">
        <f t="shared" si="56"/>
        <v>0.9375</v>
      </c>
      <c r="R334" s="33">
        <f t="shared" si="57"/>
        <v>49.99</v>
      </c>
      <c r="S334" s="33" t="str">
        <f t="shared" si="58"/>
        <v>Large</v>
      </c>
      <c r="T334" s="33" t="str">
        <f t="shared" si="59"/>
        <v>High</v>
      </c>
    </row>
    <row r="335" spans="1:20" x14ac:dyDescent="0.3">
      <c r="A335" s="5" t="s">
        <v>601</v>
      </c>
      <c r="B335" s="5" t="s">
        <v>602</v>
      </c>
      <c r="C335" s="5" t="s">
        <v>55</v>
      </c>
      <c r="D335" s="5" t="s">
        <v>38</v>
      </c>
      <c r="E335" s="5" t="s">
        <v>43</v>
      </c>
      <c r="F335" s="5" t="s">
        <v>24</v>
      </c>
      <c r="G335" s="5">
        <v>14</v>
      </c>
      <c r="H335" s="6">
        <v>399</v>
      </c>
      <c r="I335" s="6">
        <f t="shared" si="50"/>
        <v>5586</v>
      </c>
      <c r="J335" s="7">
        <v>0</v>
      </c>
      <c r="K335" s="6">
        <f t="shared" si="51"/>
        <v>5586</v>
      </c>
      <c r="L335" s="5" t="s">
        <v>18</v>
      </c>
      <c r="M335" s="31">
        <f t="shared" si="52"/>
        <v>5586</v>
      </c>
      <c r="N335" s="33">
        <f t="shared" si="53"/>
        <v>5187</v>
      </c>
      <c r="O335" s="31" t="str">
        <f t="shared" si="54"/>
        <v>January</v>
      </c>
      <c r="P335" s="33">
        <f t="shared" si="55"/>
        <v>-5187</v>
      </c>
      <c r="Q335" s="33">
        <f t="shared" si="56"/>
        <v>0.9285714285714286</v>
      </c>
      <c r="R335" s="33">
        <f t="shared" si="57"/>
        <v>399</v>
      </c>
      <c r="S335" s="33" t="str">
        <f t="shared" si="58"/>
        <v>Large</v>
      </c>
      <c r="T335" s="33" t="str">
        <f t="shared" si="59"/>
        <v>Low</v>
      </c>
    </row>
    <row r="336" spans="1:20" x14ac:dyDescent="0.3">
      <c r="A336" s="2" t="s">
        <v>603</v>
      </c>
      <c r="B336" s="2" t="s">
        <v>602</v>
      </c>
      <c r="C336" s="2" t="s">
        <v>28</v>
      </c>
      <c r="D336" s="2" t="s">
        <v>22</v>
      </c>
      <c r="E336" s="2" t="s">
        <v>141</v>
      </c>
      <c r="F336" s="2" t="s">
        <v>17</v>
      </c>
      <c r="G336" s="2">
        <v>6</v>
      </c>
      <c r="H336" s="3">
        <v>169</v>
      </c>
      <c r="I336" s="3">
        <f t="shared" si="50"/>
        <v>1014</v>
      </c>
      <c r="J336" s="4">
        <v>8</v>
      </c>
      <c r="K336" s="3">
        <f t="shared" si="51"/>
        <v>932.88</v>
      </c>
      <c r="L336" s="2" t="s">
        <v>18</v>
      </c>
      <c r="M336" s="31">
        <f t="shared" si="52"/>
        <v>1014</v>
      </c>
      <c r="N336" s="33">
        <f t="shared" si="53"/>
        <v>845</v>
      </c>
      <c r="O336" s="31" t="str">
        <f t="shared" si="54"/>
        <v>January</v>
      </c>
      <c r="P336" s="33">
        <f t="shared" si="55"/>
        <v>-763.88</v>
      </c>
      <c r="Q336" s="33">
        <f t="shared" si="56"/>
        <v>0.90579710144927539</v>
      </c>
      <c r="R336" s="33">
        <f t="shared" si="57"/>
        <v>155.47999999999999</v>
      </c>
      <c r="S336" s="33" t="str">
        <f t="shared" si="58"/>
        <v>Small</v>
      </c>
      <c r="T336" s="33" t="str">
        <f t="shared" si="59"/>
        <v>High</v>
      </c>
    </row>
    <row r="337" spans="1:20" x14ac:dyDescent="0.3">
      <c r="A337" s="14" t="s">
        <v>604</v>
      </c>
      <c r="B337" s="14" t="s">
        <v>605</v>
      </c>
      <c r="C337" s="14" t="s">
        <v>28</v>
      </c>
      <c r="D337" s="14" t="s">
        <v>22</v>
      </c>
      <c r="E337" s="14" t="s">
        <v>141</v>
      </c>
      <c r="F337" s="14" t="s">
        <v>17</v>
      </c>
      <c r="G337" s="14">
        <v>7</v>
      </c>
      <c r="H337" s="15">
        <v>169</v>
      </c>
      <c r="I337" s="15">
        <f t="shared" si="50"/>
        <v>1183</v>
      </c>
      <c r="J337" s="16">
        <v>0</v>
      </c>
      <c r="K337" s="15">
        <f t="shared" si="51"/>
        <v>1183</v>
      </c>
      <c r="L337" s="14" t="s">
        <v>132</v>
      </c>
      <c r="M337" s="31">
        <f t="shared" si="52"/>
        <v>1183</v>
      </c>
      <c r="N337" s="33">
        <f t="shared" si="53"/>
        <v>1014</v>
      </c>
      <c r="O337" s="31" t="str">
        <f t="shared" si="54"/>
        <v>January</v>
      </c>
      <c r="P337" s="33">
        <f t="shared" si="55"/>
        <v>-1014</v>
      </c>
      <c r="Q337" s="33">
        <f t="shared" si="56"/>
        <v>0.8571428571428571</v>
      </c>
      <c r="R337" s="33">
        <f t="shared" si="57"/>
        <v>169</v>
      </c>
      <c r="S337" s="33" t="str">
        <f t="shared" si="58"/>
        <v>Small</v>
      </c>
      <c r="T337" s="33" t="str">
        <f t="shared" si="59"/>
        <v>Low</v>
      </c>
    </row>
    <row r="338" spans="1:20" x14ac:dyDescent="0.3">
      <c r="A338" s="2" t="s">
        <v>606</v>
      </c>
      <c r="B338" s="2" t="s">
        <v>607</v>
      </c>
      <c r="C338" s="2" t="s">
        <v>52</v>
      </c>
      <c r="D338" s="2" t="s">
        <v>33</v>
      </c>
      <c r="E338" s="2" t="s">
        <v>23</v>
      </c>
      <c r="F338" s="2" t="s">
        <v>24</v>
      </c>
      <c r="G338" s="2">
        <v>10</v>
      </c>
      <c r="H338" s="3">
        <v>999</v>
      </c>
      <c r="I338" s="3">
        <f t="shared" si="50"/>
        <v>9990</v>
      </c>
      <c r="J338" s="4">
        <v>8</v>
      </c>
      <c r="K338" s="3">
        <f t="shared" si="51"/>
        <v>9190.8000000000011</v>
      </c>
      <c r="L338" s="2" t="s">
        <v>18</v>
      </c>
      <c r="M338" s="31">
        <f t="shared" si="52"/>
        <v>9990</v>
      </c>
      <c r="N338" s="33">
        <f t="shared" si="53"/>
        <v>8991</v>
      </c>
      <c r="O338" s="31" t="str">
        <f t="shared" si="54"/>
        <v>January</v>
      </c>
      <c r="P338" s="33">
        <f t="shared" si="55"/>
        <v>-8191.8000000000011</v>
      </c>
      <c r="Q338" s="33">
        <f t="shared" si="56"/>
        <v>0.97826086956521729</v>
      </c>
      <c r="R338" s="33">
        <f t="shared" si="57"/>
        <v>919.08000000000015</v>
      </c>
      <c r="S338" s="33" t="str">
        <f t="shared" si="58"/>
        <v>Large</v>
      </c>
      <c r="T338" s="33" t="str">
        <f t="shared" si="59"/>
        <v>High</v>
      </c>
    </row>
    <row r="339" spans="1:20" x14ac:dyDescent="0.3">
      <c r="A339" s="5" t="s">
        <v>608</v>
      </c>
      <c r="B339" s="5" t="s">
        <v>609</v>
      </c>
      <c r="C339" s="5" t="s">
        <v>55</v>
      </c>
      <c r="D339" s="5" t="s">
        <v>38</v>
      </c>
      <c r="E339" s="5" t="s">
        <v>106</v>
      </c>
      <c r="F339" s="5" t="s">
        <v>17</v>
      </c>
      <c r="G339" s="5">
        <v>1</v>
      </c>
      <c r="H339" s="6">
        <v>199</v>
      </c>
      <c r="I339" s="6">
        <f t="shared" si="50"/>
        <v>199</v>
      </c>
      <c r="J339" s="7">
        <v>5</v>
      </c>
      <c r="K339" s="6">
        <f t="shared" si="51"/>
        <v>189.04999999999998</v>
      </c>
      <c r="L339" s="5" t="s">
        <v>18</v>
      </c>
      <c r="M339" s="31">
        <f t="shared" si="52"/>
        <v>199</v>
      </c>
      <c r="N339" s="33">
        <f t="shared" si="53"/>
        <v>0</v>
      </c>
      <c r="O339" s="31" t="str">
        <f t="shared" si="54"/>
        <v>January</v>
      </c>
      <c r="P339" s="33">
        <f t="shared" si="55"/>
        <v>9.9500000000000171</v>
      </c>
      <c r="Q339" s="33">
        <f t="shared" si="56"/>
        <v>0</v>
      </c>
      <c r="R339" s="33">
        <f t="shared" si="57"/>
        <v>189.04999999999998</v>
      </c>
      <c r="S339" s="33" t="str">
        <f t="shared" si="58"/>
        <v>Small</v>
      </c>
      <c r="T339" s="33" t="str">
        <f t="shared" si="59"/>
        <v>High</v>
      </c>
    </row>
    <row r="340" spans="1:20" x14ac:dyDescent="0.3">
      <c r="A340" s="2" t="s">
        <v>610</v>
      </c>
      <c r="B340" s="2" t="s">
        <v>609</v>
      </c>
      <c r="C340" s="2" t="s">
        <v>21</v>
      </c>
      <c r="D340" s="2" t="s">
        <v>22</v>
      </c>
      <c r="E340" s="2" t="s">
        <v>39</v>
      </c>
      <c r="F340" s="2" t="s">
        <v>17</v>
      </c>
      <c r="G340" s="2">
        <v>28</v>
      </c>
      <c r="H340" s="3">
        <v>299</v>
      </c>
      <c r="I340" s="3">
        <f t="shared" si="50"/>
        <v>8372</v>
      </c>
      <c r="J340" s="4">
        <v>10</v>
      </c>
      <c r="K340" s="3">
        <f t="shared" si="51"/>
        <v>7534.8</v>
      </c>
      <c r="L340" s="2" t="s">
        <v>18</v>
      </c>
      <c r="M340" s="31">
        <f t="shared" si="52"/>
        <v>8372</v>
      </c>
      <c r="N340" s="33">
        <f t="shared" si="53"/>
        <v>8073</v>
      </c>
      <c r="O340" s="31" t="str">
        <f t="shared" si="54"/>
        <v>January</v>
      </c>
      <c r="P340" s="33">
        <f t="shared" si="55"/>
        <v>-7235.8</v>
      </c>
      <c r="Q340" s="33">
        <f t="shared" si="56"/>
        <v>1.0714285714285714</v>
      </c>
      <c r="R340" s="33">
        <f t="shared" si="57"/>
        <v>269.10000000000002</v>
      </c>
      <c r="S340" s="33" t="str">
        <f t="shared" si="58"/>
        <v>Large</v>
      </c>
      <c r="T340" s="33" t="str">
        <f t="shared" si="59"/>
        <v>Low</v>
      </c>
    </row>
    <row r="341" spans="1:20" x14ac:dyDescent="0.3">
      <c r="A341" s="5" t="s">
        <v>611</v>
      </c>
      <c r="B341" s="5" t="s">
        <v>612</v>
      </c>
      <c r="C341" s="5" t="s">
        <v>52</v>
      </c>
      <c r="D341" s="5" t="s">
        <v>33</v>
      </c>
      <c r="E341" s="5" t="s">
        <v>60</v>
      </c>
      <c r="F341" s="5" t="s">
        <v>61</v>
      </c>
      <c r="G341" s="5">
        <v>20</v>
      </c>
      <c r="H341" s="6">
        <v>49.99</v>
      </c>
      <c r="I341" s="6">
        <f t="shared" si="50"/>
        <v>999.80000000000007</v>
      </c>
      <c r="J341" s="7">
        <v>0</v>
      </c>
      <c r="K341" s="6">
        <f t="shared" si="51"/>
        <v>999.80000000000007</v>
      </c>
      <c r="L341" s="5" t="s">
        <v>18</v>
      </c>
      <c r="M341" s="31">
        <f t="shared" si="52"/>
        <v>999.80000000000007</v>
      </c>
      <c r="N341" s="33">
        <f t="shared" si="53"/>
        <v>949.81000000000006</v>
      </c>
      <c r="O341" s="31" t="str">
        <f t="shared" si="54"/>
        <v>January</v>
      </c>
      <c r="P341" s="33">
        <f t="shared" si="55"/>
        <v>-949.81000000000006</v>
      </c>
      <c r="Q341" s="33">
        <f t="shared" si="56"/>
        <v>0.95</v>
      </c>
      <c r="R341" s="33">
        <f t="shared" si="57"/>
        <v>49.99</v>
      </c>
      <c r="S341" s="33" t="str">
        <f t="shared" si="58"/>
        <v>Large</v>
      </c>
      <c r="T341" s="33" t="str">
        <f t="shared" si="59"/>
        <v>High</v>
      </c>
    </row>
    <row r="342" spans="1:20" x14ac:dyDescent="0.3">
      <c r="A342" s="2" t="s">
        <v>613</v>
      </c>
      <c r="B342" s="2" t="s">
        <v>614</v>
      </c>
      <c r="C342" s="2" t="s">
        <v>28</v>
      </c>
      <c r="D342" s="2" t="s">
        <v>22</v>
      </c>
      <c r="E342" s="2" t="s">
        <v>157</v>
      </c>
      <c r="F342" s="2" t="s">
        <v>17</v>
      </c>
      <c r="G342" s="2">
        <v>12</v>
      </c>
      <c r="H342" s="3">
        <v>449</v>
      </c>
      <c r="I342" s="3">
        <f t="shared" si="50"/>
        <v>5388</v>
      </c>
      <c r="J342" s="4">
        <v>8</v>
      </c>
      <c r="K342" s="3">
        <f t="shared" si="51"/>
        <v>4956.96</v>
      </c>
      <c r="L342" s="2" t="s">
        <v>18</v>
      </c>
      <c r="M342" s="31">
        <f t="shared" si="52"/>
        <v>5388</v>
      </c>
      <c r="N342" s="33">
        <f t="shared" si="53"/>
        <v>4939</v>
      </c>
      <c r="O342" s="31" t="str">
        <f t="shared" si="54"/>
        <v>January</v>
      </c>
      <c r="P342" s="33">
        <f t="shared" si="55"/>
        <v>-4507.96</v>
      </c>
      <c r="Q342" s="33">
        <f t="shared" si="56"/>
        <v>0.99637681159420288</v>
      </c>
      <c r="R342" s="33">
        <f t="shared" si="57"/>
        <v>413.08</v>
      </c>
      <c r="S342" s="33" t="str">
        <f t="shared" si="58"/>
        <v>Large</v>
      </c>
      <c r="T342" s="33" t="str">
        <f t="shared" si="59"/>
        <v>Low</v>
      </c>
    </row>
    <row r="343" spans="1:20" x14ac:dyDescent="0.3">
      <c r="A343" s="5" t="s">
        <v>615</v>
      </c>
      <c r="B343" s="5" t="s">
        <v>616</v>
      </c>
      <c r="C343" s="5" t="s">
        <v>14</v>
      </c>
      <c r="D343" s="5" t="s">
        <v>15</v>
      </c>
      <c r="E343" s="5" t="s">
        <v>71</v>
      </c>
      <c r="F343" s="5" t="s">
        <v>24</v>
      </c>
      <c r="G343" s="5">
        <v>11</v>
      </c>
      <c r="H343" s="6">
        <v>249</v>
      </c>
      <c r="I343" s="6">
        <f t="shared" si="50"/>
        <v>2739</v>
      </c>
      <c r="J343" s="7">
        <v>5</v>
      </c>
      <c r="K343" s="6">
        <f t="shared" si="51"/>
        <v>2602.0499999999997</v>
      </c>
      <c r="L343" s="5" t="s">
        <v>18</v>
      </c>
      <c r="M343" s="31">
        <f t="shared" si="52"/>
        <v>2739</v>
      </c>
      <c r="N343" s="33">
        <f t="shared" si="53"/>
        <v>2490</v>
      </c>
      <c r="O343" s="31" t="str">
        <f t="shared" si="54"/>
        <v>January</v>
      </c>
      <c r="P343" s="33">
        <f t="shared" si="55"/>
        <v>-2353.0499999999997</v>
      </c>
      <c r="Q343" s="33">
        <f t="shared" si="56"/>
        <v>0.95693779904306231</v>
      </c>
      <c r="R343" s="33">
        <f t="shared" si="57"/>
        <v>236.54999999999998</v>
      </c>
      <c r="S343" s="33" t="str">
        <f t="shared" si="58"/>
        <v>Large</v>
      </c>
      <c r="T343" s="33" t="str">
        <f t="shared" si="59"/>
        <v>High</v>
      </c>
    </row>
    <row r="344" spans="1:20" x14ac:dyDescent="0.3">
      <c r="A344" s="2" t="s">
        <v>617</v>
      </c>
      <c r="B344" s="2" t="s">
        <v>618</v>
      </c>
      <c r="C344" s="2" t="s">
        <v>28</v>
      </c>
      <c r="D344" s="2" t="s">
        <v>22</v>
      </c>
      <c r="E344" s="2" t="s">
        <v>60</v>
      </c>
      <c r="F344" s="2" t="s">
        <v>61</v>
      </c>
      <c r="G344" s="2">
        <v>14</v>
      </c>
      <c r="H344" s="3">
        <v>49.99</v>
      </c>
      <c r="I344" s="3">
        <f t="shared" si="50"/>
        <v>699.86</v>
      </c>
      <c r="J344" s="4">
        <v>5</v>
      </c>
      <c r="K344" s="3">
        <f t="shared" si="51"/>
        <v>664.86699999999996</v>
      </c>
      <c r="L344" s="2" t="s">
        <v>18</v>
      </c>
      <c r="M344" s="31">
        <f t="shared" si="52"/>
        <v>699.86</v>
      </c>
      <c r="N344" s="33">
        <f t="shared" si="53"/>
        <v>649.87</v>
      </c>
      <c r="O344" s="31" t="str">
        <f t="shared" si="54"/>
        <v>January</v>
      </c>
      <c r="P344" s="33">
        <f t="shared" si="55"/>
        <v>-614.87699999999995</v>
      </c>
      <c r="Q344" s="33">
        <f t="shared" si="56"/>
        <v>0.97744360902255645</v>
      </c>
      <c r="R344" s="33">
        <f t="shared" si="57"/>
        <v>47.490499999999997</v>
      </c>
      <c r="S344" s="33" t="str">
        <f t="shared" si="58"/>
        <v>Large</v>
      </c>
      <c r="T344" s="33" t="str">
        <f t="shared" si="59"/>
        <v>High</v>
      </c>
    </row>
    <row r="345" spans="1:20" x14ac:dyDescent="0.3">
      <c r="A345" s="5" t="s">
        <v>619</v>
      </c>
      <c r="B345" s="5" t="s">
        <v>618</v>
      </c>
      <c r="C345" s="5" t="s">
        <v>21</v>
      </c>
      <c r="D345" s="5" t="s">
        <v>22</v>
      </c>
      <c r="E345" s="5" t="s">
        <v>82</v>
      </c>
      <c r="F345" s="5" t="s">
        <v>61</v>
      </c>
      <c r="G345" s="5">
        <v>3</v>
      </c>
      <c r="H345" s="6">
        <v>59.99</v>
      </c>
      <c r="I345" s="6">
        <f t="shared" si="50"/>
        <v>179.97</v>
      </c>
      <c r="J345" s="7">
        <v>8</v>
      </c>
      <c r="K345" s="6">
        <f t="shared" si="51"/>
        <v>165.57240000000002</v>
      </c>
      <c r="L345" s="5" t="s">
        <v>18</v>
      </c>
      <c r="M345" s="31">
        <f t="shared" si="52"/>
        <v>179.97</v>
      </c>
      <c r="N345" s="33">
        <f t="shared" si="53"/>
        <v>119.97999999999999</v>
      </c>
      <c r="O345" s="31" t="str">
        <f t="shared" si="54"/>
        <v>January</v>
      </c>
      <c r="P345" s="33">
        <f t="shared" si="55"/>
        <v>-105.58240000000001</v>
      </c>
      <c r="Q345" s="33">
        <f t="shared" si="56"/>
        <v>0.72463768115942018</v>
      </c>
      <c r="R345" s="33">
        <f t="shared" si="57"/>
        <v>55.190800000000003</v>
      </c>
      <c r="S345" s="33" t="str">
        <f t="shared" si="58"/>
        <v>Small</v>
      </c>
      <c r="T345" s="33" t="str">
        <f t="shared" si="59"/>
        <v>Low</v>
      </c>
    </row>
    <row r="346" spans="1:20" x14ac:dyDescent="0.3">
      <c r="A346" s="2" t="s">
        <v>620</v>
      </c>
      <c r="B346" s="2" t="s">
        <v>621</v>
      </c>
      <c r="C346" s="2" t="s">
        <v>21</v>
      </c>
      <c r="D346" s="2" t="s">
        <v>22</v>
      </c>
      <c r="E346" s="2" t="s">
        <v>23</v>
      </c>
      <c r="F346" s="2" t="s">
        <v>24</v>
      </c>
      <c r="G346" s="2">
        <v>11</v>
      </c>
      <c r="H346" s="3">
        <v>999</v>
      </c>
      <c r="I346" s="3">
        <f t="shared" si="50"/>
        <v>10989</v>
      </c>
      <c r="J346" s="4">
        <v>12</v>
      </c>
      <c r="K346" s="3">
        <f t="shared" si="51"/>
        <v>9670.32</v>
      </c>
      <c r="L346" s="2" t="s">
        <v>18</v>
      </c>
      <c r="M346" s="31">
        <f t="shared" si="52"/>
        <v>10989</v>
      </c>
      <c r="N346" s="33">
        <f t="shared" si="53"/>
        <v>9990</v>
      </c>
      <c r="O346" s="31" t="str">
        <f t="shared" si="54"/>
        <v>January</v>
      </c>
      <c r="P346" s="33">
        <f t="shared" si="55"/>
        <v>-8671.32</v>
      </c>
      <c r="Q346" s="33">
        <f t="shared" si="56"/>
        <v>1.0330578512396695</v>
      </c>
      <c r="R346" s="33">
        <f t="shared" si="57"/>
        <v>879.12</v>
      </c>
      <c r="S346" s="33" t="str">
        <f t="shared" si="58"/>
        <v>Large</v>
      </c>
      <c r="T346" s="33" t="str">
        <f t="shared" si="59"/>
        <v>Low</v>
      </c>
    </row>
    <row r="347" spans="1:20" x14ac:dyDescent="0.3">
      <c r="A347" s="5" t="s">
        <v>622</v>
      </c>
      <c r="B347" s="5" t="s">
        <v>623</v>
      </c>
      <c r="C347" s="5" t="s">
        <v>32</v>
      </c>
      <c r="D347" s="5" t="s">
        <v>33</v>
      </c>
      <c r="E347" s="5" t="s">
        <v>99</v>
      </c>
      <c r="F347" s="5" t="s">
        <v>30</v>
      </c>
      <c r="G347" s="5">
        <v>6</v>
      </c>
      <c r="H347" s="6">
        <v>89.99</v>
      </c>
      <c r="I347" s="6">
        <f t="shared" si="50"/>
        <v>539.93999999999994</v>
      </c>
      <c r="J347" s="7">
        <v>0</v>
      </c>
      <c r="K347" s="6">
        <f t="shared" si="51"/>
        <v>539.93999999999994</v>
      </c>
      <c r="L347" s="5" t="s">
        <v>18</v>
      </c>
      <c r="M347" s="31">
        <f t="shared" si="52"/>
        <v>539.93999999999994</v>
      </c>
      <c r="N347" s="33">
        <f t="shared" si="53"/>
        <v>449.94999999999993</v>
      </c>
      <c r="O347" s="31" t="str">
        <f t="shared" si="54"/>
        <v>January</v>
      </c>
      <c r="P347" s="33">
        <f t="shared" si="55"/>
        <v>-449.94999999999993</v>
      </c>
      <c r="Q347" s="33">
        <f t="shared" si="56"/>
        <v>0.83333333333333326</v>
      </c>
      <c r="R347" s="33">
        <f t="shared" si="57"/>
        <v>89.99</v>
      </c>
      <c r="S347" s="33" t="str">
        <f t="shared" si="58"/>
        <v>Small</v>
      </c>
      <c r="T347" s="33" t="str">
        <f t="shared" si="59"/>
        <v>High</v>
      </c>
    </row>
    <row r="348" spans="1:20" x14ac:dyDescent="0.3">
      <c r="A348" s="2" t="s">
        <v>624</v>
      </c>
      <c r="B348" s="2" t="s">
        <v>623</v>
      </c>
      <c r="C348" s="2" t="s">
        <v>49</v>
      </c>
      <c r="D348" s="2" t="s">
        <v>38</v>
      </c>
      <c r="E348" s="2" t="s">
        <v>39</v>
      </c>
      <c r="F348" s="2" t="s">
        <v>17</v>
      </c>
      <c r="G348" s="2">
        <v>15</v>
      </c>
      <c r="H348" s="3">
        <v>299</v>
      </c>
      <c r="I348" s="3">
        <f t="shared" si="50"/>
        <v>4485</v>
      </c>
      <c r="J348" s="4">
        <v>5</v>
      </c>
      <c r="K348" s="3">
        <f t="shared" si="51"/>
        <v>4260.75</v>
      </c>
      <c r="L348" s="2" t="s">
        <v>18</v>
      </c>
      <c r="M348" s="31">
        <f t="shared" si="52"/>
        <v>4485</v>
      </c>
      <c r="N348" s="33">
        <f t="shared" si="53"/>
        <v>4186</v>
      </c>
      <c r="O348" s="31" t="str">
        <f t="shared" si="54"/>
        <v>January</v>
      </c>
      <c r="P348" s="33">
        <f t="shared" si="55"/>
        <v>-3961.75</v>
      </c>
      <c r="Q348" s="33">
        <f t="shared" si="56"/>
        <v>0.98245614035087714</v>
      </c>
      <c r="R348" s="33">
        <f t="shared" si="57"/>
        <v>284.05</v>
      </c>
      <c r="S348" s="33" t="str">
        <f t="shared" si="58"/>
        <v>Large</v>
      </c>
      <c r="T348" s="33" t="str">
        <f t="shared" si="59"/>
        <v>Low</v>
      </c>
    </row>
    <row r="349" spans="1:20" x14ac:dyDescent="0.3">
      <c r="A349" s="5" t="s">
        <v>625</v>
      </c>
      <c r="B349" s="5" t="s">
        <v>626</v>
      </c>
      <c r="C349" s="5" t="s">
        <v>52</v>
      </c>
      <c r="D349" s="5" t="s">
        <v>33</v>
      </c>
      <c r="E349" s="5" t="s">
        <v>71</v>
      </c>
      <c r="F349" s="5" t="s">
        <v>24</v>
      </c>
      <c r="G349" s="5">
        <v>23</v>
      </c>
      <c r="H349" s="6">
        <v>249</v>
      </c>
      <c r="I349" s="6">
        <f t="shared" si="50"/>
        <v>5727</v>
      </c>
      <c r="J349" s="7">
        <v>5</v>
      </c>
      <c r="K349" s="6">
        <f t="shared" si="51"/>
        <v>5440.65</v>
      </c>
      <c r="L349" s="5" t="s">
        <v>18</v>
      </c>
      <c r="M349" s="31">
        <f t="shared" si="52"/>
        <v>5727</v>
      </c>
      <c r="N349" s="33">
        <f t="shared" si="53"/>
        <v>5478</v>
      </c>
      <c r="O349" s="31" t="str">
        <f t="shared" si="54"/>
        <v>January</v>
      </c>
      <c r="P349" s="33">
        <f t="shared" si="55"/>
        <v>-5191.6499999999996</v>
      </c>
      <c r="Q349" s="33">
        <f t="shared" si="56"/>
        <v>1.0068649885583525</v>
      </c>
      <c r="R349" s="33">
        <f t="shared" si="57"/>
        <v>236.54999999999998</v>
      </c>
      <c r="S349" s="33" t="str">
        <f t="shared" si="58"/>
        <v>Large</v>
      </c>
      <c r="T349" s="33" t="str">
        <f t="shared" si="59"/>
        <v>High</v>
      </c>
    </row>
    <row r="350" spans="1:20" x14ac:dyDescent="0.3">
      <c r="A350" s="2" t="s">
        <v>627</v>
      </c>
      <c r="B350" s="2" t="s">
        <v>628</v>
      </c>
      <c r="C350" s="2" t="s">
        <v>14</v>
      </c>
      <c r="D350" s="2" t="s">
        <v>15</v>
      </c>
      <c r="E350" s="2" t="s">
        <v>93</v>
      </c>
      <c r="F350" s="2" t="s">
        <v>24</v>
      </c>
      <c r="G350" s="2">
        <v>2</v>
      </c>
      <c r="H350" s="3">
        <v>599</v>
      </c>
      <c r="I350" s="3">
        <f t="shared" si="50"/>
        <v>1198</v>
      </c>
      <c r="J350" s="4">
        <v>5</v>
      </c>
      <c r="K350" s="3">
        <f t="shared" si="51"/>
        <v>1138.0999999999999</v>
      </c>
      <c r="L350" s="2" t="s">
        <v>18</v>
      </c>
      <c r="M350" s="31">
        <f t="shared" si="52"/>
        <v>1198</v>
      </c>
      <c r="N350" s="33">
        <f t="shared" si="53"/>
        <v>599</v>
      </c>
      <c r="O350" s="31" t="str">
        <f t="shared" si="54"/>
        <v>January</v>
      </c>
      <c r="P350" s="33">
        <f t="shared" si="55"/>
        <v>-539.09999999999991</v>
      </c>
      <c r="Q350" s="33">
        <f t="shared" si="56"/>
        <v>0.52631578947368429</v>
      </c>
      <c r="R350" s="33">
        <f t="shared" si="57"/>
        <v>569.04999999999995</v>
      </c>
      <c r="S350" s="33" t="str">
        <f t="shared" si="58"/>
        <v>Small</v>
      </c>
      <c r="T350" s="33" t="str">
        <f t="shared" si="59"/>
        <v>High</v>
      </c>
    </row>
    <row r="351" spans="1:20" x14ac:dyDescent="0.3">
      <c r="A351" s="5" t="s">
        <v>629</v>
      </c>
      <c r="B351" s="5" t="s">
        <v>630</v>
      </c>
      <c r="C351" s="5" t="s">
        <v>52</v>
      </c>
      <c r="D351" s="5" t="s">
        <v>33</v>
      </c>
      <c r="E351" s="5" t="s">
        <v>43</v>
      </c>
      <c r="F351" s="5" t="s">
        <v>24</v>
      </c>
      <c r="G351" s="5">
        <v>11</v>
      </c>
      <c r="H351" s="6">
        <v>399</v>
      </c>
      <c r="I351" s="6">
        <f t="shared" si="50"/>
        <v>4389</v>
      </c>
      <c r="J351" s="7">
        <v>0</v>
      </c>
      <c r="K351" s="6">
        <f t="shared" si="51"/>
        <v>4389</v>
      </c>
      <c r="L351" s="5" t="s">
        <v>18</v>
      </c>
      <c r="M351" s="31">
        <f t="shared" si="52"/>
        <v>4389</v>
      </c>
      <c r="N351" s="33">
        <f t="shared" si="53"/>
        <v>3990</v>
      </c>
      <c r="O351" s="31" t="str">
        <f t="shared" si="54"/>
        <v>January</v>
      </c>
      <c r="P351" s="33">
        <f t="shared" si="55"/>
        <v>-3990</v>
      </c>
      <c r="Q351" s="33">
        <f t="shared" si="56"/>
        <v>0.90909090909090906</v>
      </c>
      <c r="R351" s="33">
        <f t="shared" si="57"/>
        <v>399</v>
      </c>
      <c r="S351" s="33" t="str">
        <f t="shared" si="58"/>
        <v>Large</v>
      </c>
      <c r="T351" s="33" t="str">
        <f t="shared" si="59"/>
        <v>High</v>
      </c>
    </row>
    <row r="352" spans="1:20" x14ac:dyDescent="0.3">
      <c r="A352" s="2" t="s">
        <v>631</v>
      </c>
      <c r="B352" s="2" t="s">
        <v>630</v>
      </c>
      <c r="C352" s="2" t="s">
        <v>21</v>
      </c>
      <c r="D352" s="2" t="s">
        <v>22</v>
      </c>
      <c r="E352" s="2" t="s">
        <v>188</v>
      </c>
      <c r="F352" s="2" t="s">
        <v>17</v>
      </c>
      <c r="G352" s="2">
        <v>12</v>
      </c>
      <c r="H352" s="3">
        <v>39.99</v>
      </c>
      <c r="I352" s="3">
        <f t="shared" si="50"/>
        <v>479.88</v>
      </c>
      <c r="J352" s="4">
        <v>5</v>
      </c>
      <c r="K352" s="3">
        <f t="shared" si="51"/>
        <v>455.88599999999997</v>
      </c>
      <c r="L352" s="2" t="s">
        <v>18</v>
      </c>
      <c r="M352" s="31">
        <f t="shared" si="52"/>
        <v>479.88</v>
      </c>
      <c r="N352" s="33">
        <f t="shared" si="53"/>
        <v>439.89</v>
      </c>
      <c r="O352" s="31" t="str">
        <f t="shared" si="54"/>
        <v>January</v>
      </c>
      <c r="P352" s="33">
        <f t="shared" si="55"/>
        <v>-415.89599999999996</v>
      </c>
      <c r="Q352" s="33">
        <f t="shared" si="56"/>
        <v>0.96491228070175439</v>
      </c>
      <c r="R352" s="33">
        <f t="shared" si="57"/>
        <v>37.990499999999997</v>
      </c>
      <c r="S352" s="33" t="str">
        <f t="shared" si="58"/>
        <v>Large</v>
      </c>
      <c r="T352" s="33" t="str">
        <f t="shared" si="59"/>
        <v>High</v>
      </c>
    </row>
    <row r="353" spans="1:20" x14ac:dyDescent="0.3">
      <c r="A353" s="5" t="s">
        <v>632</v>
      </c>
      <c r="B353" s="5" t="s">
        <v>633</v>
      </c>
      <c r="C353" s="5" t="s">
        <v>80</v>
      </c>
      <c r="D353" s="5" t="s">
        <v>22</v>
      </c>
      <c r="E353" s="5" t="s">
        <v>103</v>
      </c>
      <c r="F353" s="5" t="s">
        <v>61</v>
      </c>
      <c r="G353" s="5">
        <v>6</v>
      </c>
      <c r="H353" s="6">
        <v>99</v>
      </c>
      <c r="I353" s="6">
        <f t="shared" si="50"/>
        <v>594</v>
      </c>
      <c r="J353" s="7">
        <v>12</v>
      </c>
      <c r="K353" s="6">
        <f t="shared" si="51"/>
        <v>522.72</v>
      </c>
      <c r="L353" s="5" t="s">
        <v>18</v>
      </c>
      <c r="M353" s="31">
        <f t="shared" si="52"/>
        <v>594</v>
      </c>
      <c r="N353" s="33">
        <f t="shared" si="53"/>
        <v>495</v>
      </c>
      <c r="O353" s="31" t="str">
        <f t="shared" si="54"/>
        <v>February</v>
      </c>
      <c r="P353" s="33">
        <f t="shared" si="55"/>
        <v>-423.72</v>
      </c>
      <c r="Q353" s="33">
        <f t="shared" si="56"/>
        <v>0.94696969696969691</v>
      </c>
      <c r="R353" s="33">
        <f t="shared" si="57"/>
        <v>87.12</v>
      </c>
      <c r="S353" s="33" t="str">
        <f t="shared" si="58"/>
        <v>Small</v>
      </c>
      <c r="T353" s="33" t="str">
        <f t="shared" si="59"/>
        <v>Low</v>
      </c>
    </row>
    <row r="354" spans="1:20" x14ac:dyDescent="0.3">
      <c r="A354" s="17" t="s">
        <v>634</v>
      </c>
      <c r="B354" s="17" t="s">
        <v>635</v>
      </c>
      <c r="C354" s="17" t="s">
        <v>80</v>
      </c>
      <c r="D354" s="17" t="s">
        <v>22</v>
      </c>
      <c r="E354" s="17" t="s">
        <v>71</v>
      </c>
      <c r="F354" s="17" t="s">
        <v>24</v>
      </c>
      <c r="G354" s="17">
        <v>27</v>
      </c>
      <c r="H354" s="18">
        <v>249</v>
      </c>
      <c r="I354" s="18">
        <f t="shared" si="50"/>
        <v>6723</v>
      </c>
      <c r="J354" s="19">
        <v>10</v>
      </c>
      <c r="K354" s="18">
        <f t="shared" si="51"/>
        <v>6050.7</v>
      </c>
      <c r="L354" s="17" t="s">
        <v>132</v>
      </c>
      <c r="M354" s="31">
        <f t="shared" si="52"/>
        <v>6723</v>
      </c>
      <c r="N354" s="33">
        <f t="shared" si="53"/>
        <v>6474</v>
      </c>
      <c r="O354" s="31" t="str">
        <f t="shared" si="54"/>
        <v>February</v>
      </c>
      <c r="P354" s="33">
        <f t="shared" si="55"/>
        <v>-5801.7</v>
      </c>
      <c r="Q354" s="33">
        <f t="shared" si="56"/>
        <v>1.0699588477366255</v>
      </c>
      <c r="R354" s="33">
        <f t="shared" si="57"/>
        <v>224.1</v>
      </c>
      <c r="S354" s="33" t="str">
        <f t="shared" si="58"/>
        <v>Large</v>
      </c>
      <c r="T354" s="33" t="str">
        <f t="shared" si="59"/>
        <v>Low</v>
      </c>
    </row>
    <row r="355" spans="1:20" x14ac:dyDescent="0.3">
      <c r="A355" s="5" t="s">
        <v>636</v>
      </c>
      <c r="B355" s="5" t="s">
        <v>635</v>
      </c>
      <c r="C355" s="5" t="s">
        <v>37</v>
      </c>
      <c r="D355" s="5" t="s">
        <v>38</v>
      </c>
      <c r="E355" s="5" t="s">
        <v>66</v>
      </c>
      <c r="F355" s="5" t="s">
        <v>17</v>
      </c>
      <c r="G355" s="5">
        <v>16</v>
      </c>
      <c r="H355" s="6">
        <v>549</v>
      </c>
      <c r="I355" s="6">
        <f t="shared" si="50"/>
        <v>8784</v>
      </c>
      <c r="J355" s="7">
        <v>0</v>
      </c>
      <c r="K355" s="6">
        <f t="shared" si="51"/>
        <v>8784</v>
      </c>
      <c r="L355" s="5" t="s">
        <v>18</v>
      </c>
      <c r="M355" s="31">
        <f t="shared" si="52"/>
        <v>8784</v>
      </c>
      <c r="N355" s="33">
        <f t="shared" si="53"/>
        <v>8235</v>
      </c>
      <c r="O355" s="31" t="str">
        <f t="shared" si="54"/>
        <v>February</v>
      </c>
      <c r="P355" s="33">
        <f t="shared" si="55"/>
        <v>-8235</v>
      </c>
      <c r="Q355" s="33">
        <f t="shared" si="56"/>
        <v>0.9375</v>
      </c>
      <c r="R355" s="33">
        <f t="shared" si="57"/>
        <v>549</v>
      </c>
      <c r="S355" s="33" t="str">
        <f t="shared" si="58"/>
        <v>Large</v>
      </c>
      <c r="T355" s="33" t="str">
        <f t="shared" si="59"/>
        <v>High</v>
      </c>
    </row>
    <row r="356" spans="1:20" x14ac:dyDescent="0.3">
      <c r="A356" s="11" t="s">
        <v>637</v>
      </c>
      <c r="B356" s="11" t="s">
        <v>635</v>
      </c>
      <c r="C356" s="11" t="s">
        <v>37</v>
      </c>
      <c r="D356" s="11" t="s">
        <v>38</v>
      </c>
      <c r="E356" s="11" t="s">
        <v>90</v>
      </c>
      <c r="F356" s="11" t="s">
        <v>24</v>
      </c>
      <c r="G356" s="11">
        <v>19</v>
      </c>
      <c r="H356" s="12">
        <v>149.99</v>
      </c>
      <c r="I356" s="12">
        <f t="shared" si="50"/>
        <v>2849.8100000000004</v>
      </c>
      <c r="J356" s="13">
        <v>5</v>
      </c>
      <c r="K356" s="12">
        <f t="shared" si="51"/>
        <v>2707.3195000000001</v>
      </c>
      <c r="L356" s="11" t="s">
        <v>72</v>
      </c>
      <c r="M356" s="31">
        <f t="shared" si="52"/>
        <v>2849.8100000000004</v>
      </c>
      <c r="N356" s="33">
        <f t="shared" si="53"/>
        <v>2699.8200000000006</v>
      </c>
      <c r="O356" s="31" t="str">
        <f t="shared" si="54"/>
        <v>February</v>
      </c>
      <c r="P356" s="33">
        <f t="shared" si="55"/>
        <v>-2557.3294999999998</v>
      </c>
      <c r="Q356" s="33">
        <f t="shared" si="56"/>
        <v>0.99722991689750717</v>
      </c>
      <c r="R356" s="33">
        <f t="shared" si="57"/>
        <v>142.4905</v>
      </c>
      <c r="S356" s="33" t="str">
        <f t="shared" si="58"/>
        <v>Large</v>
      </c>
      <c r="T356" s="33" t="str">
        <f t="shared" si="59"/>
        <v>High</v>
      </c>
    </row>
    <row r="357" spans="1:20" x14ac:dyDescent="0.3">
      <c r="A357" s="5" t="s">
        <v>638</v>
      </c>
      <c r="B357" s="5" t="s">
        <v>635</v>
      </c>
      <c r="C357" s="5" t="s">
        <v>37</v>
      </c>
      <c r="D357" s="5" t="s">
        <v>38</v>
      </c>
      <c r="E357" s="5" t="s">
        <v>147</v>
      </c>
      <c r="F357" s="5" t="s">
        <v>24</v>
      </c>
      <c r="G357" s="5">
        <v>13</v>
      </c>
      <c r="H357" s="6">
        <v>79.989999999999995</v>
      </c>
      <c r="I357" s="6">
        <f t="shared" si="50"/>
        <v>1039.8699999999999</v>
      </c>
      <c r="J357" s="7">
        <v>0</v>
      </c>
      <c r="K357" s="6">
        <f t="shared" si="51"/>
        <v>1039.8699999999999</v>
      </c>
      <c r="L357" s="5" t="s">
        <v>18</v>
      </c>
      <c r="M357" s="31">
        <f t="shared" si="52"/>
        <v>1039.8699999999999</v>
      </c>
      <c r="N357" s="33">
        <f t="shared" si="53"/>
        <v>959.87999999999988</v>
      </c>
      <c r="O357" s="31" t="str">
        <f t="shared" si="54"/>
        <v>February</v>
      </c>
      <c r="P357" s="33">
        <f t="shared" si="55"/>
        <v>-959.87999999999988</v>
      </c>
      <c r="Q357" s="33">
        <f t="shared" si="56"/>
        <v>0.92307692307692302</v>
      </c>
      <c r="R357" s="33">
        <f t="shared" si="57"/>
        <v>79.989999999999995</v>
      </c>
      <c r="S357" s="33" t="str">
        <f t="shared" si="58"/>
        <v>Large</v>
      </c>
      <c r="T357" s="33" t="str">
        <f t="shared" si="59"/>
        <v>High</v>
      </c>
    </row>
    <row r="358" spans="1:20" x14ac:dyDescent="0.3">
      <c r="A358" s="2" t="s">
        <v>639</v>
      </c>
      <c r="B358" s="2" t="s">
        <v>640</v>
      </c>
      <c r="C358" s="2" t="s">
        <v>49</v>
      </c>
      <c r="D358" s="2" t="s">
        <v>38</v>
      </c>
      <c r="E358" s="2" t="s">
        <v>77</v>
      </c>
      <c r="F358" s="2" t="s">
        <v>61</v>
      </c>
      <c r="G358" s="2">
        <v>18</v>
      </c>
      <c r="H358" s="3">
        <v>149</v>
      </c>
      <c r="I358" s="3">
        <f t="shared" si="50"/>
        <v>2682</v>
      </c>
      <c r="J358" s="4">
        <v>10</v>
      </c>
      <c r="K358" s="3">
        <f t="shared" si="51"/>
        <v>2413.8000000000002</v>
      </c>
      <c r="L358" s="2" t="s">
        <v>18</v>
      </c>
      <c r="M358" s="31">
        <f t="shared" si="52"/>
        <v>2682</v>
      </c>
      <c r="N358" s="33">
        <f t="shared" si="53"/>
        <v>2533</v>
      </c>
      <c r="O358" s="31" t="str">
        <f t="shared" si="54"/>
        <v>February</v>
      </c>
      <c r="P358" s="33">
        <f t="shared" si="55"/>
        <v>-2264.8000000000002</v>
      </c>
      <c r="Q358" s="33">
        <f t="shared" si="56"/>
        <v>1.0493827160493827</v>
      </c>
      <c r="R358" s="33">
        <f t="shared" si="57"/>
        <v>134.10000000000002</v>
      </c>
      <c r="S358" s="33" t="str">
        <f t="shared" si="58"/>
        <v>Large</v>
      </c>
      <c r="T358" s="33" t="str">
        <f t="shared" si="59"/>
        <v>High</v>
      </c>
    </row>
    <row r="359" spans="1:20" x14ac:dyDescent="0.3">
      <c r="A359" s="5" t="s">
        <v>641</v>
      </c>
      <c r="B359" s="5" t="s">
        <v>642</v>
      </c>
      <c r="C359" s="5" t="s">
        <v>49</v>
      </c>
      <c r="D359" s="5" t="s">
        <v>38</v>
      </c>
      <c r="E359" s="5" t="s">
        <v>34</v>
      </c>
      <c r="F359" s="5" t="s">
        <v>30</v>
      </c>
      <c r="G359" s="5">
        <v>17</v>
      </c>
      <c r="H359" s="6">
        <v>19.989999999999998</v>
      </c>
      <c r="I359" s="6">
        <f t="shared" si="50"/>
        <v>339.83</v>
      </c>
      <c r="J359" s="7">
        <v>0</v>
      </c>
      <c r="K359" s="6">
        <f t="shared" si="51"/>
        <v>339.83</v>
      </c>
      <c r="L359" s="5" t="s">
        <v>18</v>
      </c>
      <c r="M359" s="31">
        <f t="shared" si="52"/>
        <v>339.83</v>
      </c>
      <c r="N359" s="33">
        <f t="shared" si="53"/>
        <v>319.83999999999997</v>
      </c>
      <c r="O359" s="31" t="str">
        <f t="shared" si="54"/>
        <v>February</v>
      </c>
      <c r="P359" s="33">
        <f t="shared" si="55"/>
        <v>-319.83999999999997</v>
      </c>
      <c r="Q359" s="33">
        <f t="shared" si="56"/>
        <v>0.94117647058823528</v>
      </c>
      <c r="R359" s="33">
        <f t="shared" si="57"/>
        <v>19.989999999999998</v>
      </c>
      <c r="S359" s="33" t="str">
        <f t="shared" si="58"/>
        <v>Large</v>
      </c>
      <c r="T359" s="33" t="str">
        <f t="shared" si="59"/>
        <v>High</v>
      </c>
    </row>
    <row r="360" spans="1:20" x14ac:dyDescent="0.3">
      <c r="A360" s="2" t="s">
        <v>643</v>
      </c>
      <c r="B360" s="2" t="s">
        <v>644</v>
      </c>
      <c r="C360" s="2" t="s">
        <v>55</v>
      </c>
      <c r="D360" s="2" t="s">
        <v>38</v>
      </c>
      <c r="E360" s="2" t="s">
        <v>147</v>
      </c>
      <c r="F360" s="2" t="s">
        <v>24</v>
      </c>
      <c r="G360" s="2">
        <v>25</v>
      </c>
      <c r="H360" s="3">
        <v>79.989999999999995</v>
      </c>
      <c r="I360" s="3">
        <f t="shared" si="50"/>
        <v>1999.7499999999998</v>
      </c>
      <c r="J360" s="4">
        <v>5</v>
      </c>
      <c r="K360" s="3">
        <f t="shared" si="51"/>
        <v>1899.7624999999996</v>
      </c>
      <c r="L360" s="2" t="s">
        <v>18</v>
      </c>
      <c r="M360" s="31">
        <f t="shared" si="52"/>
        <v>1999.7499999999998</v>
      </c>
      <c r="N360" s="33">
        <f t="shared" si="53"/>
        <v>1919.7599999999998</v>
      </c>
      <c r="O360" s="31" t="str">
        <f t="shared" si="54"/>
        <v>February</v>
      </c>
      <c r="P360" s="33">
        <f t="shared" si="55"/>
        <v>-1819.7724999999996</v>
      </c>
      <c r="Q360" s="33">
        <f t="shared" si="56"/>
        <v>1.0105263157894737</v>
      </c>
      <c r="R360" s="33">
        <f t="shared" si="57"/>
        <v>75.990499999999983</v>
      </c>
      <c r="S360" s="33" t="str">
        <f t="shared" si="58"/>
        <v>Large</v>
      </c>
      <c r="T360" s="33" t="str">
        <f t="shared" si="59"/>
        <v>Low</v>
      </c>
    </row>
    <row r="361" spans="1:20" x14ac:dyDescent="0.3">
      <c r="A361" s="5" t="s">
        <v>645</v>
      </c>
      <c r="B361" s="5" t="s">
        <v>646</v>
      </c>
      <c r="C361" s="5" t="s">
        <v>52</v>
      </c>
      <c r="D361" s="5" t="s">
        <v>33</v>
      </c>
      <c r="E361" s="5" t="s">
        <v>64</v>
      </c>
      <c r="F361" s="5" t="s">
        <v>24</v>
      </c>
      <c r="G361" s="5">
        <v>7</v>
      </c>
      <c r="H361" s="6">
        <v>1299</v>
      </c>
      <c r="I361" s="6">
        <f t="shared" si="50"/>
        <v>9093</v>
      </c>
      <c r="J361" s="7">
        <v>0</v>
      </c>
      <c r="K361" s="6">
        <f t="shared" si="51"/>
        <v>9093</v>
      </c>
      <c r="L361" s="5" t="s">
        <v>18</v>
      </c>
      <c r="M361" s="31">
        <f t="shared" si="52"/>
        <v>9093</v>
      </c>
      <c r="N361" s="33">
        <f t="shared" si="53"/>
        <v>7794</v>
      </c>
      <c r="O361" s="31" t="str">
        <f t="shared" si="54"/>
        <v>February</v>
      </c>
      <c r="P361" s="33">
        <f t="shared" si="55"/>
        <v>-7794</v>
      </c>
      <c r="Q361" s="33">
        <f t="shared" si="56"/>
        <v>0.8571428571428571</v>
      </c>
      <c r="R361" s="33">
        <f t="shared" si="57"/>
        <v>1299</v>
      </c>
      <c r="S361" s="33" t="str">
        <f t="shared" si="58"/>
        <v>Small</v>
      </c>
      <c r="T361" s="33" t="str">
        <f t="shared" si="59"/>
        <v>High</v>
      </c>
    </row>
    <row r="362" spans="1:20" x14ac:dyDescent="0.3">
      <c r="A362" s="2" t="s">
        <v>647</v>
      </c>
      <c r="B362" s="2" t="s">
        <v>648</v>
      </c>
      <c r="C362" s="2" t="s">
        <v>28</v>
      </c>
      <c r="D362" s="2" t="s">
        <v>22</v>
      </c>
      <c r="E362" s="2" t="s">
        <v>16</v>
      </c>
      <c r="F362" s="2" t="s">
        <v>17</v>
      </c>
      <c r="G362" s="2">
        <v>9</v>
      </c>
      <c r="H362" s="3">
        <v>129</v>
      </c>
      <c r="I362" s="3">
        <f t="shared" si="50"/>
        <v>1161</v>
      </c>
      <c r="J362" s="4">
        <v>10</v>
      </c>
      <c r="K362" s="3">
        <f t="shared" si="51"/>
        <v>1044.9000000000001</v>
      </c>
      <c r="L362" s="2" t="s">
        <v>18</v>
      </c>
      <c r="M362" s="31">
        <f t="shared" si="52"/>
        <v>1161</v>
      </c>
      <c r="N362" s="33">
        <f t="shared" si="53"/>
        <v>1032</v>
      </c>
      <c r="O362" s="31" t="str">
        <f t="shared" si="54"/>
        <v>February</v>
      </c>
      <c r="P362" s="33">
        <f t="shared" si="55"/>
        <v>-915.90000000000009</v>
      </c>
      <c r="Q362" s="33">
        <f t="shared" si="56"/>
        <v>0.98765432098765427</v>
      </c>
      <c r="R362" s="33">
        <f t="shared" si="57"/>
        <v>116.10000000000001</v>
      </c>
      <c r="S362" s="33" t="str">
        <f t="shared" si="58"/>
        <v>Small</v>
      </c>
      <c r="T362" s="33" t="str">
        <f t="shared" si="59"/>
        <v>High</v>
      </c>
    </row>
    <row r="363" spans="1:20" x14ac:dyDescent="0.3">
      <c r="A363" s="5" t="s">
        <v>649</v>
      </c>
      <c r="B363" s="5" t="s">
        <v>648</v>
      </c>
      <c r="C363" s="5" t="s">
        <v>32</v>
      </c>
      <c r="D363" s="5" t="s">
        <v>33</v>
      </c>
      <c r="E363" s="5" t="s">
        <v>29</v>
      </c>
      <c r="F363" s="5" t="s">
        <v>30</v>
      </c>
      <c r="G363" s="5">
        <v>1</v>
      </c>
      <c r="H363" s="6">
        <v>29.99</v>
      </c>
      <c r="I363" s="6">
        <f t="shared" si="50"/>
        <v>29.99</v>
      </c>
      <c r="J363" s="7">
        <v>5</v>
      </c>
      <c r="K363" s="6">
        <f t="shared" si="51"/>
        <v>28.490499999999997</v>
      </c>
      <c r="L363" s="5" t="s">
        <v>18</v>
      </c>
      <c r="M363" s="31">
        <f t="shared" si="52"/>
        <v>29.99</v>
      </c>
      <c r="N363" s="33">
        <f t="shared" si="53"/>
        <v>0</v>
      </c>
      <c r="O363" s="31" t="str">
        <f t="shared" si="54"/>
        <v>February</v>
      </c>
      <c r="P363" s="33">
        <f t="shared" si="55"/>
        <v>1.4995000000000012</v>
      </c>
      <c r="Q363" s="33">
        <f t="shared" si="56"/>
        <v>0</v>
      </c>
      <c r="R363" s="33">
        <f t="shared" si="57"/>
        <v>28.490499999999997</v>
      </c>
      <c r="S363" s="33" t="str">
        <f t="shared" si="58"/>
        <v>Small</v>
      </c>
      <c r="T363" s="33" t="str">
        <f t="shared" si="59"/>
        <v>High</v>
      </c>
    </row>
    <row r="364" spans="1:20" x14ac:dyDescent="0.3">
      <c r="A364" s="2" t="s">
        <v>650</v>
      </c>
      <c r="B364" s="2" t="s">
        <v>651</v>
      </c>
      <c r="C364" s="2" t="s">
        <v>52</v>
      </c>
      <c r="D364" s="2" t="s">
        <v>33</v>
      </c>
      <c r="E364" s="2" t="s">
        <v>64</v>
      </c>
      <c r="F364" s="2" t="s">
        <v>24</v>
      </c>
      <c r="G364" s="2">
        <v>6</v>
      </c>
      <c r="H364" s="3">
        <v>1299</v>
      </c>
      <c r="I364" s="3">
        <f t="shared" si="50"/>
        <v>7794</v>
      </c>
      <c r="J364" s="4">
        <v>0</v>
      </c>
      <c r="K364" s="3">
        <f t="shared" si="51"/>
        <v>7794</v>
      </c>
      <c r="L364" s="2" t="s">
        <v>18</v>
      </c>
      <c r="M364" s="31">
        <f t="shared" si="52"/>
        <v>7794</v>
      </c>
      <c r="N364" s="33">
        <f t="shared" si="53"/>
        <v>6495</v>
      </c>
      <c r="O364" s="31" t="str">
        <f t="shared" si="54"/>
        <v>February</v>
      </c>
      <c r="P364" s="33">
        <f t="shared" si="55"/>
        <v>-6495</v>
      </c>
      <c r="Q364" s="33">
        <f t="shared" si="56"/>
        <v>0.83333333333333337</v>
      </c>
      <c r="R364" s="33">
        <f t="shared" si="57"/>
        <v>1299</v>
      </c>
      <c r="S364" s="33" t="str">
        <f t="shared" si="58"/>
        <v>Small</v>
      </c>
      <c r="T364" s="33" t="str">
        <f t="shared" si="59"/>
        <v>Low</v>
      </c>
    </row>
    <row r="365" spans="1:20" x14ac:dyDescent="0.3">
      <c r="A365" s="5" t="s">
        <v>652</v>
      </c>
      <c r="B365" s="5" t="s">
        <v>653</v>
      </c>
      <c r="C365" s="5" t="s">
        <v>14</v>
      </c>
      <c r="D365" s="5" t="s">
        <v>15</v>
      </c>
      <c r="E365" s="5" t="s">
        <v>71</v>
      </c>
      <c r="F365" s="5" t="s">
        <v>24</v>
      </c>
      <c r="G365" s="5">
        <v>20</v>
      </c>
      <c r="H365" s="6">
        <v>249</v>
      </c>
      <c r="I365" s="6">
        <f t="shared" si="50"/>
        <v>4980</v>
      </c>
      <c r="J365" s="7">
        <v>15</v>
      </c>
      <c r="K365" s="6">
        <f t="shared" si="51"/>
        <v>4233</v>
      </c>
      <c r="L365" s="5" t="s">
        <v>18</v>
      </c>
      <c r="M365" s="31">
        <f t="shared" si="52"/>
        <v>4980</v>
      </c>
      <c r="N365" s="33">
        <f t="shared" si="53"/>
        <v>4731</v>
      </c>
      <c r="O365" s="31" t="str">
        <f t="shared" si="54"/>
        <v>February</v>
      </c>
      <c r="P365" s="33">
        <f t="shared" si="55"/>
        <v>-3984</v>
      </c>
      <c r="Q365" s="33">
        <f t="shared" si="56"/>
        <v>1.1176470588235294</v>
      </c>
      <c r="R365" s="33">
        <f t="shared" si="57"/>
        <v>211.65</v>
      </c>
      <c r="S365" s="33" t="str">
        <f t="shared" si="58"/>
        <v>Large</v>
      </c>
      <c r="T365" s="33" t="str">
        <f t="shared" si="59"/>
        <v>High</v>
      </c>
    </row>
    <row r="366" spans="1:20" x14ac:dyDescent="0.3">
      <c r="A366" s="2" t="s">
        <v>654</v>
      </c>
      <c r="B366" s="2" t="s">
        <v>653</v>
      </c>
      <c r="C366" s="2" t="s">
        <v>80</v>
      </c>
      <c r="D366" s="2" t="s">
        <v>22</v>
      </c>
      <c r="E366" s="2" t="s">
        <v>29</v>
      </c>
      <c r="F366" s="2" t="s">
        <v>30</v>
      </c>
      <c r="G366" s="2">
        <v>24</v>
      </c>
      <c r="H366" s="3">
        <v>29.99</v>
      </c>
      <c r="I366" s="3">
        <f t="shared" si="50"/>
        <v>719.76</v>
      </c>
      <c r="J366" s="4">
        <v>0</v>
      </c>
      <c r="K366" s="3">
        <f t="shared" si="51"/>
        <v>719.76</v>
      </c>
      <c r="L366" s="2" t="s">
        <v>18</v>
      </c>
      <c r="M366" s="31">
        <f t="shared" si="52"/>
        <v>719.76</v>
      </c>
      <c r="N366" s="33">
        <f t="shared" si="53"/>
        <v>689.77</v>
      </c>
      <c r="O366" s="31" t="str">
        <f t="shared" si="54"/>
        <v>February</v>
      </c>
      <c r="P366" s="33">
        <f t="shared" si="55"/>
        <v>-689.77</v>
      </c>
      <c r="Q366" s="33">
        <f t="shared" si="56"/>
        <v>0.95833333333333337</v>
      </c>
      <c r="R366" s="33">
        <f t="shared" si="57"/>
        <v>29.99</v>
      </c>
      <c r="S366" s="33" t="str">
        <f t="shared" si="58"/>
        <v>Large</v>
      </c>
      <c r="T366" s="33" t="str">
        <f t="shared" si="59"/>
        <v>High</v>
      </c>
    </row>
    <row r="367" spans="1:20" x14ac:dyDescent="0.3">
      <c r="A367" s="5" t="s">
        <v>655</v>
      </c>
      <c r="B367" s="5" t="s">
        <v>656</v>
      </c>
      <c r="C367" s="5" t="s">
        <v>55</v>
      </c>
      <c r="D367" s="5" t="s">
        <v>38</v>
      </c>
      <c r="E367" s="5" t="s">
        <v>39</v>
      </c>
      <c r="F367" s="5" t="s">
        <v>17</v>
      </c>
      <c r="G367" s="5">
        <v>23</v>
      </c>
      <c r="H367" s="6">
        <v>299</v>
      </c>
      <c r="I367" s="6">
        <f t="shared" si="50"/>
        <v>6877</v>
      </c>
      <c r="J367" s="7">
        <v>5</v>
      </c>
      <c r="K367" s="6">
        <f t="shared" si="51"/>
        <v>6533.15</v>
      </c>
      <c r="L367" s="5" t="s">
        <v>18</v>
      </c>
      <c r="M367" s="31">
        <f t="shared" si="52"/>
        <v>6877</v>
      </c>
      <c r="N367" s="33">
        <f t="shared" si="53"/>
        <v>6578</v>
      </c>
      <c r="O367" s="31" t="str">
        <f t="shared" si="54"/>
        <v>February</v>
      </c>
      <c r="P367" s="33">
        <f t="shared" si="55"/>
        <v>-6234.15</v>
      </c>
      <c r="Q367" s="33">
        <f t="shared" si="56"/>
        <v>1.0068649885583525</v>
      </c>
      <c r="R367" s="33">
        <f t="shared" si="57"/>
        <v>284.05</v>
      </c>
      <c r="S367" s="33" t="str">
        <f t="shared" si="58"/>
        <v>Large</v>
      </c>
      <c r="T367" s="33" t="str">
        <f t="shared" si="59"/>
        <v>Low</v>
      </c>
    </row>
    <row r="368" spans="1:20" x14ac:dyDescent="0.3">
      <c r="A368" s="2" t="s">
        <v>657</v>
      </c>
      <c r="B368" s="2" t="s">
        <v>658</v>
      </c>
      <c r="C368" s="2" t="s">
        <v>49</v>
      </c>
      <c r="D368" s="2" t="s">
        <v>38</v>
      </c>
      <c r="E368" s="2" t="s">
        <v>43</v>
      </c>
      <c r="F368" s="2" t="s">
        <v>24</v>
      </c>
      <c r="G368" s="2">
        <v>22</v>
      </c>
      <c r="H368" s="3">
        <v>399</v>
      </c>
      <c r="I368" s="3">
        <f t="shared" si="50"/>
        <v>8778</v>
      </c>
      <c r="J368" s="4">
        <v>5</v>
      </c>
      <c r="K368" s="3">
        <f t="shared" si="51"/>
        <v>8339.1</v>
      </c>
      <c r="L368" s="2" t="s">
        <v>18</v>
      </c>
      <c r="M368" s="31">
        <f t="shared" si="52"/>
        <v>8778</v>
      </c>
      <c r="N368" s="33">
        <f t="shared" si="53"/>
        <v>8379</v>
      </c>
      <c r="O368" s="31" t="str">
        <f t="shared" si="54"/>
        <v>February</v>
      </c>
      <c r="P368" s="33">
        <f t="shared" si="55"/>
        <v>-7940.1</v>
      </c>
      <c r="Q368" s="33">
        <f t="shared" si="56"/>
        <v>1.0047846889952152</v>
      </c>
      <c r="R368" s="33">
        <f t="shared" si="57"/>
        <v>379.05</v>
      </c>
      <c r="S368" s="33" t="str">
        <f t="shared" si="58"/>
        <v>Large</v>
      </c>
      <c r="T368" s="33" t="str">
        <f t="shared" si="59"/>
        <v>High</v>
      </c>
    </row>
    <row r="369" spans="1:20" x14ac:dyDescent="0.3">
      <c r="A369" s="5" t="s">
        <v>659</v>
      </c>
      <c r="B369" s="5" t="s">
        <v>658</v>
      </c>
      <c r="C369" s="5" t="s">
        <v>52</v>
      </c>
      <c r="D369" s="5" t="s">
        <v>33</v>
      </c>
      <c r="E369" s="5" t="s">
        <v>99</v>
      </c>
      <c r="F369" s="5" t="s">
        <v>30</v>
      </c>
      <c r="G369" s="5">
        <v>11</v>
      </c>
      <c r="H369" s="6">
        <v>89.99</v>
      </c>
      <c r="I369" s="6">
        <f t="shared" si="50"/>
        <v>989.89</v>
      </c>
      <c r="J369" s="7">
        <v>0</v>
      </c>
      <c r="K369" s="6">
        <f t="shared" si="51"/>
        <v>989.89</v>
      </c>
      <c r="L369" s="5" t="s">
        <v>18</v>
      </c>
      <c r="M369" s="31">
        <f t="shared" si="52"/>
        <v>989.89</v>
      </c>
      <c r="N369" s="33">
        <f t="shared" si="53"/>
        <v>899.9</v>
      </c>
      <c r="O369" s="31" t="str">
        <f t="shared" si="54"/>
        <v>February</v>
      </c>
      <c r="P369" s="33">
        <f t="shared" si="55"/>
        <v>-899.9</v>
      </c>
      <c r="Q369" s="33">
        <f t="shared" si="56"/>
        <v>0.90909090909090906</v>
      </c>
      <c r="R369" s="33">
        <f t="shared" si="57"/>
        <v>89.99</v>
      </c>
      <c r="S369" s="33" t="str">
        <f t="shared" si="58"/>
        <v>Large</v>
      </c>
      <c r="T369" s="33" t="str">
        <f t="shared" si="59"/>
        <v>High</v>
      </c>
    </row>
    <row r="370" spans="1:20" x14ac:dyDescent="0.3">
      <c r="A370" s="2" t="s">
        <v>660</v>
      </c>
      <c r="B370" s="2" t="s">
        <v>661</v>
      </c>
      <c r="C370" s="2" t="s">
        <v>32</v>
      </c>
      <c r="D370" s="2" t="s">
        <v>33</v>
      </c>
      <c r="E370" s="2" t="s">
        <v>77</v>
      </c>
      <c r="F370" s="2" t="s">
        <v>61</v>
      </c>
      <c r="G370" s="2">
        <v>4</v>
      </c>
      <c r="H370" s="3">
        <v>149</v>
      </c>
      <c r="I370" s="3">
        <f t="shared" si="50"/>
        <v>596</v>
      </c>
      <c r="J370" s="4">
        <v>8</v>
      </c>
      <c r="K370" s="3">
        <f t="shared" si="51"/>
        <v>548.32000000000005</v>
      </c>
      <c r="L370" s="2" t="s">
        <v>18</v>
      </c>
      <c r="M370" s="31">
        <f t="shared" si="52"/>
        <v>596</v>
      </c>
      <c r="N370" s="33">
        <f t="shared" si="53"/>
        <v>447</v>
      </c>
      <c r="O370" s="31" t="str">
        <f t="shared" si="54"/>
        <v>February</v>
      </c>
      <c r="P370" s="33">
        <f t="shared" si="55"/>
        <v>-399.32000000000005</v>
      </c>
      <c r="Q370" s="33">
        <f t="shared" si="56"/>
        <v>0.81521739130434778</v>
      </c>
      <c r="R370" s="33">
        <f t="shared" si="57"/>
        <v>137.08000000000001</v>
      </c>
      <c r="S370" s="33" t="str">
        <f t="shared" si="58"/>
        <v>Small</v>
      </c>
      <c r="T370" s="33" t="str">
        <f t="shared" si="59"/>
        <v>Low</v>
      </c>
    </row>
    <row r="371" spans="1:20" x14ac:dyDescent="0.3">
      <c r="A371" s="8" t="s">
        <v>662</v>
      </c>
      <c r="B371" s="8" t="s">
        <v>661</v>
      </c>
      <c r="C371" s="8" t="s">
        <v>14</v>
      </c>
      <c r="D371" s="8" t="s">
        <v>15</v>
      </c>
      <c r="E371" s="8" t="s">
        <v>64</v>
      </c>
      <c r="F371" s="8" t="s">
        <v>24</v>
      </c>
      <c r="G371" s="8">
        <v>18</v>
      </c>
      <c r="H371" s="9">
        <v>1299</v>
      </c>
      <c r="I371" s="9">
        <f t="shared" si="50"/>
        <v>23382</v>
      </c>
      <c r="J371" s="10">
        <v>0</v>
      </c>
      <c r="K371" s="9">
        <f t="shared" si="51"/>
        <v>23382</v>
      </c>
      <c r="L371" s="8" t="s">
        <v>72</v>
      </c>
      <c r="M371" s="31">
        <f t="shared" si="52"/>
        <v>23382</v>
      </c>
      <c r="N371" s="33">
        <f t="shared" si="53"/>
        <v>22083</v>
      </c>
      <c r="O371" s="31" t="str">
        <f t="shared" si="54"/>
        <v>February</v>
      </c>
      <c r="P371" s="33">
        <f t="shared" si="55"/>
        <v>-22083</v>
      </c>
      <c r="Q371" s="33">
        <f t="shared" si="56"/>
        <v>0.94444444444444442</v>
      </c>
      <c r="R371" s="33">
        <f t="shared" si="57"/>
        <v>1299</v>
      </c>
      <c r="S371" s="33" t="str">
        <f t="shared" si="58"/>
        <v>Large</v>
      </c>
      <c r="T371" s="33" t="str">
        <f t="shared" si="59"/>
        <v>Low</v>
      </c>
    </row>
    <row r="372" spans="1:20" x14ac:dyDescent="0.3">
      <c r="A372" s="2" t="s">
        <v>663</v>
      </c>
      <c r="B372" s="2" t="s">
        <v>664</v>
      </c>
      <c r="C372" s="2" t="s">
        <v>21</v>
      </c>
      <c r="D372" s="2" t="s">
        <v>22</v>
      </c>
      <c r="E372" s="2" t="s">
        <v>188</v>
      </c>
      <c r="F372" s="2" t="s">
        <v>17</v>
      </c>
      <c r="G372" s="2">
        <v>11</v>
      </c>
      <c r="H372" s="3">
        <v>39.99</v>
      </c>
      <c r="I372" s="3">
        <f t="shared" si="50"/>
        <v>439.89000000000004</v>
      </c>
      <c r="J372" s="4">
        <v>10</v>
      </c>
      <c r="K372" s="3">
        <f t="shared" si="51"/>
        <v>395.90100000000007</v>
      </c>
      <c r="L372" s="2" t="s">
        <v>18</v>
      </c>
      <c r="M372" s="31">
        <f t="shared" si="52"/>
        <v>439.89000000000004</v>
      </c>
      <c r="N372" s="33">
        <f t="shared" si="53"/>
        <v>399.90000000000003</v>
      </c>
      <c r="O372" s="31" t="str">
        <f t="shared" si="54"/>
        <v>February</v>
      </c>
      <c r="P372" s="33">
        <f t="shared" si="55"/>
        <v>-355.91100000000006</v>
      </c>
      <c r="Q372" s="33">
        <f t="shared" si="56"/>
        <v>1.0101010101010099</v>
      </c>
      <c r="R372" s="33">
        <f t="shared" si="57"/>
        <v>35.991000000000007</v>
      </c>
      <c r="S372" s="33" t="str">
        <f t="shared" si="58"/>
        <v>Large</v>
      </c>
      <c r="T372" s="33" t="str">
        <f t="shared" si="59"/>
        <v>High</v>
      </c>
    </row>
    <row r="373" spans="1:20" x14ac:dyDescent="0.3">
      <c r="A373" s="8" t="s">
        <v>665</v>
      </c>
      <c r="B373" s="8" t="s">
        <v>666</v>
      </c>
      <c r="C373" s="8" t="s">
        <v>41</v>
      </c>
      <c r="D373" s="8" t="s">
        <v>15</v>
      </c>
      <c r="E373" s="8" t="s">
        <v>64</v>
      </c>
      <c r="F373" s="8" t="s">
        <v>24</v>
      </c>
      <c r="G373" s="8">
        <v>24</v>
      </c>
      <c r="H373" s="9">
        <v>1299</v>
      </c>
      <c r="I373" s="9">
        <f t="shared" si="50"/>
        <v>31176</v>
      </c>
      <c r="J373" s="10">
        <v>0</v>
      </c>
      <c r="K373" s="9">
        <f t="shared" si="51"/>
        <v>31176</v>
      </c>
      <c r="L373" s="8" t="s">
        <v>72</v>
      </c>
      <c r="M373" s="31">
        <f t="shared" si="52"/>
        <v>31176</v>
      </c>
      <c r="N373" s="33">
        <f t="shared" si="53"/>
        <v>29877</v>
      </c>
      <c r="O373" s="31" t="str">
        <f t="shared" si="54"/>
        <v>February</v>
      </c>
      <c r="P373" s="33">
        <f t="shared" si="55"/>
        <v>-29877</v>
      </c>
      <c r="Q373" s="33">
        <f t="shared" si="56"/>
        <v>0.95833333333333337</v>
      </c>
      <c r="R373" s="33">
        <f t="shared" si="57"/>
        <v>1299</v>
      </c>
      <c r="S373" s="33" t="str">
        <f t="shared" si="58"/>
        <v>Large</v>
      </c>
      <c r="T373" s="33" t="str">
        <f t="shared" si="59"/>
        <v>Low</v>
      </c>
    </row>
    <row r="374" spans="1:20" x14ac:dyDescent="0.3">
      <c r="A374" s="17" t="s">
        <v>667</v>
      </c>
      <c r="B374" s="17" t="s">
        <v>668</v>
      </c>
      <c r="C374" s="17" t="s">
        <v>21</v>
      </c>
      <c r="D374" s="17" t="s">
        <v>22</v>
      </c>
      <c r="E374" s="17" t="s">
        <v>87</v>
      </c>
      <c r="F374" s="17" t="s">
        <v>61</v>
      </c>
      <c r="G374" s="17">
        <v>24</v>
      </c>
      <c r="H374" s="18">
        <v>299</v>
      </c>
      <c r="I374" s="18">
        <f t="shared" si="50"/>
        <v>7176</v>
      </c>
      <c r="J374" s="19">
        <v>12</v>
      </c>
      <c r="K374" s="18">
        <f t="shared" si="51"/>
        <v>6314.88</v>
      </c>
      <c r="L374" s="17" t="s">
        <v>132</v>
      </c>
      <c r="M374" s="31">
        <f t="shared" si="52"/>
        <v>7176</v>
      </c>
      <c r="N374" s="33">
        <f t="shared" si="53"/>
        <v>6877</v>
      </c>
      <c r="O374" s="31" t="str">
        <f t="shared" si="54"/>
        <v>February</v>
      </c>
      <c r="P374" s="33">
        <f t="shared" si="55"/>
        <v>-6015.88</v>
      </c>
      <c r="Q374" s="33">
        <f t="shared" si="56"/>
        <v>1.0890151515151516</v>
      </c>
      <c r="R374" s="33">
        <f t="shared" si="57"/>
        <v>263.12</v>
      </c>
      <c r="S374" s="33" t="str">
        <f t="shared" si="58"/>
        <v>Large</v>
      </c>
      <c r="T374" s="33" t="str">
        <f t="shared" si="59"/>
        <v>High</v>
      </c>
    </row>
    <row r="375" spans="1:20" x14ac:dyDescent="0.3">
      <c r="A375" s="8" t="s">
        <v>669</v>
      </c>
      <c r="B375" s="8" t="s">
        <v>670</v>
      </c>
      <c r="C375" s="8" t="s">
        <v>80</v>
      </c>
      <c r="D375" s="8" t="s">
        <v>22</v>
      </c>
      <c r="E375" s="8" t="s">
        <v>90</v>
      </c>
      <c r="F375" s="8" t="s">
        <v>24</v>
      </c>
      <c r="G375" s="8">
        <v>24</v>
      </c>
      <c r="H375" s="9">
        <v>149.99</v>
      </c>
      <c r="I375" s="9">
        <f t="shared" si="50"/>
        <v>3599.76</v>
      </c>
      <c r="J375" s="10">
        <v>8</v>
      </c>
      <c r="K375" s="9">
        <f t="shared" si="51"/>
        <v>3311.7792000000004</v>
      </c>
      <c r="L375" s="8" t="s">
        <v>72</v>
      </c>
      <c r="M375" s="31">
        <f t="shared" si="52"/>
        <v>3599.76</v>
      </c>
      <c r="N375" s="33">
        <f t="shared" si="53"/>
        <v>3449.7700000000004</v>
      </c>
      <c r="O375" s="31" t="str">
        <f t="shared" si="54"/>
        <v>February</v>
      </c>
      <c r="P375" s="33">
        <f t="shared" si="55"/>
        <v>-3161.7892000000002</v>
      </c>
      <c r="Q375" s="33">
        <f t="shared" si="56"/>
        <v>1.0416666666666667</v>
      </c>
      <c r="R375" s="33">
        <f t="shared" si="57"/>
        <v>137.99080000000001</v>
      </c>
      <c r="S375" s="33" t="str">
        <f t="shared" si="58"/>
        <v>Large</v>
      </c>
      <c r="T375" s="33" t="str">
        <f t="shared" si="59"/>
        <v>High</v>
      </c>
    </row>
    <row r="376" spans="1:20" x14ac:dyDescent="0.3">
      <c r="A376" s="2" t="s">
        <v>671</v>
      </c>
      <c r="B376" s="2" t="s">
        <v>670</v>
      </c>
      <c r="C376" s="2" t="s">
        <v>41</v>
      </c>
      <c r="D376" s="2" t="s">
        <v>15</v>
      </c>
      <c r="E376" s="2" t="s">
        <v>64</v>
      </c>
      <c r="F376" s="2" t="s">
        <v>24</v>
      </c>
      <c r="G376" s="2">
        <v>1</v>
      </c>
      <c r="H376" s="3">
        <v>1299</v>
      </c>
      <c r="I376" s="3">
        <f t="shared" si="50"/>
        <v>1299</v>
      </c>
      <c r="J376" s="4">
        <v>15</v>
      </c>
      <c r="K376" s="3">
        <f t="shared" si="51"/>
        <v>1104.1499999999999</v>
      </c>
      <c r="L376" s="2" t="s">
        <v>18</v>
      </c>
      <c r="M376" s="31">
        <f t="shared" si="52"/>
        <v>1299</v>
      </c>
      <c r="N376" s="33">
        <f t="shared" si="53"/>
        <v>0</v>
      </c>
      <c r="O376" s="31" t="str">
        <f t="shared" si="54"/>
        <v>February</v>
      </c>
      <c r="P376" s="33">
        <f t="shared" si="55"/>
        <v>194.85000000000014</v>
      </c>
      <c r="Q376" s="33">
        <f t="shared" si="56"/>
        <v>0</v>
      </c>
      <c r="R376" s="33">
        <f t="shared" si="57"/>
        <v>1104.1499999999999</v>
      </c>
      <c r="S376" s="33" t="str">
        <f t="shared" si="58"/>
        <v>Small</v>
      </c>
      <c r="T376" s="33" t="str">
        <f t="shared" si="59"/>
        <v>High</v>
      </c>
    </row>
    <row r="377" spans="1:20" x14ac:dyDescent="0.3">
      <c r="A377" s="8" t="s">
        <v>672</v>
      </c>
      <c r="B377" s="8" t="s">
        <v>673</v>
      </c>
      <c r="C377" s="8" t="s">
        <v>41</v>
      </c>
      <c r="D377" s="8" t="s">
        <v>15</v>
      </c>
      <c r="E377" s="8" t="s">
        <v>46</v>
      </c>
      <c r="F377" s="8" t="s">
        <v>30</v>
      </c>
      <c r="G377" s="8">
        <v>14</v>
      </c>
      <c r="H377" s="9">
        <v>59.99</v>
      </c>
      <c r="I377" s="9">
        <f t="shared" si="50"/>
        <v>839.86</v>
      </c>
      <c r="J377" s="10">
        <v>0</v>
      </c>
      <c r="K377" s="9">
        <f t="shared" si="51"/>
        <v>839.86</v>
      </c>
      <c r="L377" s="8" t="s">
        <v>72</v>
      </c>
      <c r="M377" s="31">
        <f t="shared" si="52"/>
        <v>839.86</v>
      </c>
      <c r="N377" s="33">
        <f t="shared" si="53"/>
        <v>779.87</v>
      </c>
      <c r="O377" s="31" t="str">
        <f t="shared" si="54"/>
        <v>February</v>
      </c>
      <c r="P377" s="33">
        <f t="shared" si="55"/>
        <v>-779.87</v>
      </c>
      <c r="Q377" s="33">
        <f t="shared" si="56"/>
        <v>0.9285714285714286</v>
      </c>
      <c r="R377" s="33">
        <f t="shared" si="57"/>
        <v>59.99</v>
      </c>
      <c r="S377" s="33" t="str">
        <f t="shared" si="58"/>
        <v>Large</v>
      </c>
      <c r="T377" s="33" t="str">
        <f t="shared" si="59"/>
        <v>High</v>
      </c>
    </row>
    <row r="378" spans="1:20" x14ac:dyDescent="0.3">
      <c r="A378" s="11" t="s">
        <v>674</v>
      </c>
      <c r="B378" s="11" t="s">
        <v>675</v>
      </c>
      <c r="C378" s="11" t="s">
        <v>49</v>
      </c>
      <c r="D378" s="11" t="s">
        <v>38</v>
      </c>
      <c r="E378" s="11" t="s">
        <v>60</v>
      </c>
      <c r="F378" s="11" t="s">
        <v>61</v>
      </c>
      <c r="G378" s="11">
        <v>3</v>
      </c>
      <c r="H378" s="12">
        <v>49.99</v>
      </c>
      <c r="I378" s="12">
        <f t="shared" si="50"/>
        <v>149.97</v>
      </c>
      <c r="J378" s="13">
        <v>12</v>
      </c>
      <c r="K378" s="12">
        <f t="shared" si="51"/>
        <v>131.9736</v>
      </c>
      <c r="L378" s="11" t="s">
        <v>72</v>
      </c>
      <c r="M378" s="31">
        <f t="shared" si="52"/>
        <v>149.97</v>
      </c>
      <c r="N378" s="33">
        <f t="shared" si="53"/>
        <v>99.97999999999999</v>
      </c>
      <c r="O378" s="31" t="str">
        <f t="shared" si="54"/>
        <v>March</v>
      </c>
      <c r="P378" s="33">
        <f t="shared" si="55"/>
        <v>-81.983599999999996</v>
      </c>
      <c r="Q378" s="33">
        <f t="shared" si="56"/>
        <v>0.75757575757575746</v>
      </c>
      <c r="R378" s="33">
        <f t="shared" si="57"/>
        <v>43.991199999999999</v>
      </c>
      <c r="S378" s="33" t="str">
        <f t="shared" si="58"/>
        <v>Small</v>
      </c>
      <c r="T378" s="33" t="str">
        <f t="shared" si="59"/>
        <v>Low</v>
      </c>
    </row>
    <row r="379" spans="1:20" x14ac:dyDescent="0.3">
      <c r="A379" s="5" t="s">
        <v>676</v>
      </c>
      <c r="B379" s="5" t="s">
        <v>675</v>
      </c>
      <c r="C379" s="5" t="s">
        <v>41</v>
      </c>
      <c r="D379" s="5" t="s">
        <v>15</v>
      </c>
      <c r="E379" s="5" t="s">
        <v>144</v>
      </c>
      <c r="F379" s="5" t="s">
        <v>30</v>
      </c>
      <c r="G379" s="5">
        <v>30</v>
      </c>
      <c r="H379" s="6">
        <v>79.989999999999995</v>
      </c>
      <c r="I379" s="6">
        <f t="shared" si="50"/>
        <v>2399.6999999999998</v>
      </c>
      <c r="J379" s="7">
        <v>0</v>
      </c>
      <c r="K379" s="6">
        <f t="shared" si="51"/>
        <v>2399.6999999999998</v>
      </c>
      <c r="L379" s="5" t="s">
        <v>18</v>
      </c>
      <c r="M379" s="31">
        <f t="shared" si="52"/>
        <v>2399.6999999999998</v>
      </c>
      <c r="N379" s="33">
        <f t="shared" si="53"/>
        <v>2319.71</v>
      </c>
      <c r="O379" s="31" t="str">
        <f t="shared" si="54"/>
        <v>March</v>
      </c>
      <c r="P379" s="33">
        <f t="shared" si="55"/>
        <v>-2319.71</v>
      </c>
      <c r="Q379" s="33">
        <f t="shared" si="56"/>
        <v>0.96666666666666679</v>
      </c>
      <c r="R379" s="33">
        <f t="shared" si="57"/>
        <v>79.989999999999995</v>
      </c>
      <c r="S379" s="33" t="str">
        <f t="shared" si="58"/>
        <v>Large</v>
      </c>
      <c r="T379" s="33" t="str">
        <f t="shared" si="59"/>
        <v>Low</v>
      </c>
    </row>
    <row r="380" spans="1:20" x14ac:dyDescent="0.3">
      <c r="A380" s="2" t="s">
        <v>677</v>
      </c>
      <c r="B380" s="2" t="s">
        <v>678</v>
      </c>
      <c r="C380" s="2" t="s">
        <v>37</v>
      </c>
      <c r="D380" s="2" t="s">
        <v>38</v>
      </c>
      <c r="E380" s="2" t="s">
        <v>188</v>
      </c>
      <c r="F380" s="2" t="s">
        <v>17</v>
      </c>
      <c r="G380" s="2">
        <v>23</v>
      </c>
      <c r="H380" s="3">
        <v>39.99</v>
      </c>
      <c r="I380" s="3">
        <f t="shared" si="50"/>
        <v>919.7700000000001</v>
      </c>
      <c r="J380" s="4">
        <v>5</v>
      </c>
      <c r="K380" s="3">
        <f t="shared" si="51"/>
        <v>873.78150000000005</v>
      </c>
      <c r="L380" s="2" t="s">
        <v>18</v>
      </c>
      <c r="M380" s="31">
        <f t="shared" si="52"/>
        <v>919.7700000000001</v>
      </c>
      <c r="N380" s="33">
        <f t="shared" si="53"/>
        <v>879.78000000000009</v>
      </c>
      <c r="O380" s="31" t="str">
        <f t="shared" si="54"/>
        <v>March</v>
      </c>
      <c r="P380" s="33">
        <f t="shared" si="55"/>
        <v>-833.79150000000004</v>
      </c>
      <c r="Q380" s="33">
        <f t="shared" si="56"/>
        <v>1.0068649885583525</v>
      </c>
      <c r="R380" s="33">
        <f t="shared" si="57"/>
        <v>37.990500000000004</v>
      </c>
      <c r="S380" s="33" t="str">
        <f t="shared" si="58"/>
        <v>Large</v>
      </c>
      <c r="T380" s="33" t="str">
        <f t="shared" si="59"/>
        <v>High</v>
      </c>
    </row>
    <row r="381" spans="1:20" x14ac:dyDescent="0.3">
      <c r="A381" s="5" t="s">
        <v>679</v>
      </c>
      <c r="B381" s="5" t="s">
        <v>680</v>
      </c>
      <c r="C381" s="5" t="s">
        <v>14</v>
      </c>
      <c r="D381" s="5" t="s">
        <v>15</v>
      </c>
      <c r="E381" s="5" t="s">
        <v>64</v>
      </c>
      <c r="F381" s="5" t="s">
        <v>24</v>
      </c>
      <c r="G381" s="5">
        <v>9</v>
      </c>
      <c r="H381" s="6">
        <v>1299</v>
      </c>
      <c r="I381" s="6">
        <f t="shared" si="50"/>
        <v>11691</v>
      </c>
      <c r="J381" s="7">
        <v>15</v>
      </c>
      <c r="K381" s="6">
        <f t="shared" si="51"/>
        <v>9937.35</v>
      </c>
      <c r="L381" s="5" t="s">
        <v>18</v>
      </c>
      <c r="M381" s="31">
        <f t="shared" si="52"/>
        <v>11691</v>
      </c>
      <c r="N381" s="33">
        <f t="shared" si="53"/>
        <v>10392</v>
      </c>
      <c r="O381" s="31" t="str">
        <f t="shared" si="54"/>
        <v>March</v>
      </c>
      <c r="P381" s="33">
        <f t="shared" si="55"/>
        <v>-8638.35</v>
      </c>
      <c r="Q381" s="33">
        <f t="shared" si="56"/>
        <v>1.0457516339869282</v>
      </c>
      <c r="R381" s="33">
        <f t="shared" si="57"/>
        <v>1104.1500000000001</v>
      </c>
      <c r="S381" s="33" t="str">
        <f t="shared" si="58"/>
        <v>Small</v>
      </c>
      <c r="T381" s="33" t="str">
        <f t="shared" si="59"/>
        <v>Low</v>
      </c>
    </row>
    <row r="382" spans="1:20" x14ac:dyDescent="0.3">
      <c r="A382" s="2" t="s">
        <v>681</v>
      </c>
      <c r="B382" s="2" t="s">
        <v>682</v>
      </c>
      <c r="C382" s="2" t="s">
        <v>52</v>
      </c>
      <c r="D382" s="2" t="s">
        <v>33</v>
      </c>
      <c r="E382" s="2" t="s">
        <v>74</v>
      </c>
      <c r="F382" s="2" t="s">
        <v>30</v>
      </c>
      <c r="G382" s="2">
        <v>25</v>
      </c>
      <c r="H382" s="3">
        <v>49.99</v>
      </c>
      <c r="I382" s="3">
        <f t="shared" si="50"/>
        <v>1249.75</v>
      </c>
      <c r="J382" s="4">
        <v>10</v>
      </c>
      <c r="K382" s="3">
        <f t="shared" si="51"/>
        <v>1124.7750000000001</v>
      </c>
      <c r="L382" s="2" t="s">
        <v>18</v>
      </c>
      <c r="M382" s="31">
        <f t="shared" si="52"/>
        <v>1249.75</v>
      </c>
      <c r="N382" s="33">
        <f t="shared" si="53"/>
        <v>1199.76</v>
      </c>
      <c r="O382" s="31" t="str">
        <f t="shared" si="54"/>
        <v>March</v>
      </c>
      <c r="P382" s="33">
        <f t="shared" si="55"/>
        <v>-1074.7850000000001</v>
      </c>
      <c r="Q382" s="33">
        <f t="shared" si="56"/>
        <v>1.0666666666666667</v>
      </c>
      <c r="R382" s="33">
        <f t="shared" si="57"/>
        <v>44.991000000000007</v>
      </c>
      <c r="S382" s="33" t="str">
        <f t="shared" si="58"/>
        <v>Large</v>
      </c>
      <c r="T382" s="33" t="str">
        <f t="shared" si="59"/>
        <v>High</v>
      </c>
    </row>
    <row r="383" spans="1:20" x14ac:dyDescent="0.3">
      <c r="A383" s="5" t="s">
        <v>683</v>
      </c>
      <c r="B383" s="5" t="s">
        <v>682</v>
      </c>
      <c r="C383" s="5" t="s">
        <v>41</v>
      </c>
      <c r="D383" s="5" t="s">
        <v>15</v>
      </c>
      <c r="E383" s="5" t="s">
        <v>144</v>
      </c>
      <c r="F383" s="5" t="s">
        <v>30</v>
      </c>
      <c r="G383" s="5">
        <v>22</v>
      </c>
      <c r="H383" s="6">
        <v>79.989999999999995</v>
      </c>
      <c r="I383" s="6">
        <f t="shared" si="50"/>
        <v>1759.78</v>
      </c>
      <c r="J383" s="7">
        <v>15</v>
      </c>
      <c r="K383" s="6">
        <f t="shared" si="51"/>
        <v>1495.8129999999999</v>
      </c>
      <c r="L383" s="5" t="s">
        <v>18</v>
      </c>
      <c r="M383" s="31">
        <f t="shared" si="52"/>
        <v>1759.78</v>
      </c>
      <c r="N383" s="33">
        <f t="shared" si="53"/>
        <v>1679.79</v>
      </c>
      <c r="O383" s="31" t="str">
        <f t="shared" si="54"/>
        <v>March</v>
      </c>
      <c r="P383" s="33">
        <f t="shared" si="55"/>
        <v>-1415.8229999999999</v>
      </c>
      <c r="Q383" s="33">
        <f t="shared" si="56"/>
        <v>1.1229946524064172</v>
      </c>
      <c r="R383" s="33">
        <f t="shared" si="57"/>
        <v>67.991499999999988</v>
      </c>
      <c r="S383" s="33" t="str">
        <f t="shared" si="58"/>
        <v>Large</v>
      </c>
      <c r="T383" s="33" t="str">
        <f t="shared" si="59"/>
        <v>High</v>
      </c>
    </row>
    <row r="384" spans="1:20" x14ac:dyDescent="0.3">
      <c r="A384" s="2" t="s">
        <v>684</v>
      </c>
      <c r="B384" s="2" t="s">
        <v>685</v>
      </c>
      <c r="C384" s="2" t="s">
        <v>37</v>
      </c>
      <c r="D384" s="2" t="s">
        <v>38</v>
      </c>
      <c r="E384" s="2" t="s">
        <v>66</v>
      </c>
      <c r="F384" s="2" t="s">
        <v>17</v>
      </c>
      <c r="G384" s="2">
        <v>6</v>
      </c>
      <c r="H384" s="3">
        <v>549</v>
      </c>
      <c r="I384" s="3">
        <f t="shared" si="50"/>
        <v>3294</v>
      </c>
      <c r="J384" s="4">
        <v>0</v>
      </c>
      <c r="K384" s="3">
        <f t="shared" si="51"/>
        <v>3294</v>
      </c>
      <c r="L384" s="2" t="s">
        <v>18</v>
      </c>
      <c r="M384" s="31">
        <f t="shared" si="52"/>
        <v>3294</v>
      </c>
      <c r="N384" s="33">
        <f t="shared" si="53"/>
        <v>2745</v>
      </c>
      <c r="O384" s="31" t="str">
        <f t="shared" si="54"/>
        <v>March</v>
      </c>
      <c r="P384" s="33">
        <f t="shared" si="55"/>
        <v>-2745</v>
      </c>
      <c r="Q384" s="33">
        <f t="shared" si="56"/>
        <v>0.83333333333333337</v>
      </c>
      <c r="R384" s="33">
        <f t="shared" si="57"/>
        <v>549</v>
      </c>
      <c r="S384" s="33" t="str">
        <f t="shared" si="58"/>
        <v>Small</v>
      </c>
      <c r="T384" s="33" t="str">
        <f t="shared" si="59"/>
        <v>High</v>
      </c>
    </row>
    <row r="385" spans="1:20" x14ac:dyDescent="0.3">
      <c r="A385" s="5" t="s">
        <v>686</v>
      </c>
      <c r="B385" s="5" t="s">
        <v>687</v>
      </c>
      <c r="C385" s="5" t="s">
        <v>80</v>
      </c>
      <c r="D385" s="5" t="s">
        <v>22</v>
      </c>
      <c r="E385" s="5" t="s">
        <v>93</v>
      </c>
      <c r="F385" s="5" t="s">
        <v>24</v>
      </c>
      <c r="G385" s="5">
        <v>5</v>
      </c>
      <c r="H385" s="6">
        <v>599</v>
      </c>
      <c r="I385" s="6">
        <f t="shared" si="50"/>
        <v>2995</v>
      </c>
      <c r="J385" s="7">
        <v>0</v>
      </c>
      <c r="K385" s="6">
        <f t="shared" si="51"/>
        <v>2995</v>
      </c>
      <c r="L385" s="5" t="s">
        <v>18</v>
      </c>
      <c r="M385" s="31">
        <f t="shared" si="52"/>
        <v>2995</v>
      </c>
      <c r="N385" s="33">
        <f t="shared" si="53"/>
        <v>2396</v>
      </c>
      <c r="O385" s="31" t="str">
        <f t="shared" si="54"/>
        <v>March</v>
      </c>
      <c r="P385" s="33">
        <f t="shared" si="55"/>
        <v>-2396</v>
      </c>
      <c r="Q385" s="33">
        <f t="shared" si="56"/>
        <v>0.8</v>
      </c>
      <c r="R385" s="33">
        <f t="shared" si="57"/>
        <v>599</v>
      </c>
      <c r="S385" s="33" t="str">
        <f t="shared" si="58"/>
        <v>Small</v>
      </c>
      <c r="T385" s="33" t="str">
        <f t="shared" si="59"/>
        <v>High</v>
      </c>
    </row>
    <row r="386" spans="1:20" x14ac:dyDescent="0.3">
      <c r="A386" s="2" t="s">
        <v>688</v>
      </c>
      <c r="B386" s="2" t="s">
        <v>687</v>
      </c>
      <c r="C386" s="2" t="s">
        <v>32</v>
      </c>
      <c r="D386" s="2" t="s">
        <v>33</v>
      </c>
      <c r="E386" s="2" t="s">
        <v>16</v>
      </c>
      <c r="F386" s="2" t="s">
        <v>17</v>
      </c>
      <c r="G386" s="2">
        <v>15</v>
      </c>
      <c r="H386" s="3">
        <v>129</v>
      </c>
      <c r="I386" s="3">
        <f t="shared" ref="I386:I449" si="60">H386*G386</f>
        <v>1935</v>
      </c>
      <c r="J386" s="4">
        <v>0</v>
      </c>
      <c r="K386" s="3">
        <f t="shared" ref="K386:K449" si="61">I386*(1-J386/100)</f>
        <v>1935</v>
      </c>
      <c r="L386" s="2" t="s">
        <v>18</v>
      </c>
      <c r="M386" s="31">
        <f t="shared" si="52"/>
        <v>1935</v>
      </c>
      <c r="N386" s="33">
        <f t="shared" si="53"/>
        <v>1806</v>
      </c>
      <c r="O386" s="31" t="str">
        <f t="shared" si="54"/>
        <v>March</v>
      </c>
      <c r="P386" s="33">
        <f t="shared" si="55"/>
        <v>-1806</v>
      </c>
      <c r="Q386" s="33">
        <f t="shared" si="56"/>
        <v>0.93333333333333335</v>
      </c>
      <c r="R386" s="33">
        <f t="shared" si="57"/>
        <v>129</v>
      </c>
      <c r="S386" s="33" t="str">
        <f t="shared" si="58"/>
        <v>Large</v>
      </c>
      <c r="T386" s="33" t="str">
        <f t="shared" si="59"/>
        <v>High</v>
      </c>
    </row>
    <row r="387" spans="1:20" x14ac:dyDescent="0.3">
      <c r="A387" s="5" t="s">
        <v>689</v>
      </c>
      <c r="B387" s="5" t="s">
        <v>690</v>
      </c>
      <c r="C387" s="5" t="s">
        <v>41</v>
      </c>
      <c r="D387" s="5" t="s">
        <v>15</v>
      </c>
      <c r="E387" s="5" t="s">
        <v>16</v>
      </c>
      <c r="F387" s="5" t="s">
        <v>17</v>
      </c>
      <c r="G387" s="5">
        <v>6</v>
      </c>
      <c r="H387" s="6">
        <v>129</v>
      </c>
      <c r="I387" s="6">
        <f t="shared" si="60"/>
        <v>774</v>
      </c>
      <c r="J387" s="7">
        <v>5</v>
      </c>
      <c r="K387" s="6">
        <f t="shared" si="61"/>
        <v>735.3</v>
      </c>
      <c r="L387" s="5" t="s">
        <v>18</v>
      </c>
      <c r="M387" s="31">
        <f t="shared" ref="M387:M450" si="62">G387*H387</f>
        <v>774</v>
      </c>
      <c r="N387" s="33">
        <f t="shared" ref="N387:N450" si="63">M387-H387</f>
        <v>645</v>
      </c>
      <c r="O387" s="31" t="str">
        <f t="shared" ref="O387:O450" si="64">TEXT(B387,"MMMM")</f>
        <v>March</v>
      </c>
      <c r="P387" s="33">
        <f t="shared" ref="P387:P450" si="65">H387-K387</f>
        <v>-606.29999999999995</v>
      </c>
      <c r="Q387" s="33">
        <f t="shared" ref="Q387:Q450" si="66">N387/K387</f>
        <v>0.87719298245614041</v>
      </c>
      <c r="R387" s="33">
        <f t="shared" ref="R387:R450" si="67">K387/G387</f>
        <v>122.55</v>
      </c>
      <c r="S387" s="33" t="str">
        <f t="shared" ref="S387:S450" si="68">IF(G387&gt;=10,"Large","Small")</f>
        <v>Small</v>
      </c>
      <c r="T387" s="33" t="str">
        <f t="shared" ref="T387:T450" si="69">IF(K386&gt;1000,"High","Low")</f>
        <v>High</v>
      </c>
    </row>
    <row r="388" spans="1:20" x14ac:dyDescent="0.3">
      <c r="A388" s="2" t="s">
        <v>691</v>
      </c>
      <c r="B388" s="2" t="s">
        <v>690</v>
      </c>
      <c r="C388" s="2" t="s">
        <v>28</v>
      </c>
      <c r="D388" s="2" t="s">
        <v>22</v>
      </c>
      <c r="E388" s="2" t="s">
        <v>103</v>
      </c>
      <c r="F388" s="2" t="s">
        <v>61</v>
      </c>
      <c r="G388" s="2">
        <v>20</v>
      </c>
      <c r="H388" s="3">
        <v>99</v>
      </c>
      <c r="I388" s="3">
        <f t="shared" si="60"/>
        <v>1980</v>
      </c>
      <c r="J388" s="4">
        <v>15</v>
      </c>
      <c r="K388" s="3">
        <f t="shared" si="61"/>
        <v>1683</v>
      </c>
      <c r="L388" s="2" t="s">
        <v>18</v>
      </c>
      <c r="M388" s="31">
        <f t="shared" si="62"/>
        <v>1980</v>
      </c>
      <c r="N388" s="33">
        <f t="shared" si="63"/>
        <v>1881</v>
      </c>
      <c r="O388" s="31" t="str">
        <f t="shared" si="64"/>
        <v>March</v>
      </c>
      <c r="P388" s="33">
        <f t="shared" si="65"/>
        <v>-1584</v>
      </c>
      <c r="Q388" s="33">
        <f t="shared" si="66"/>
        <v>1.1176470588235294</v>
      </c>
      <c r="R388" s="33">
        <f t="shared" si="67"/>
        <v>84.15</v>
      </c>
      <c r="S388" s="33" t="str">
        <f t="shared" si="68"/>
        <v>Large</v>
      </c>
      <c r="T388" s="33" t="str">
        <f t="shared" si="69"/>
        <v>Low</v>
      </c>
    </row>
    <row r="389" spans="1:20" x14ac:dyDescent="0.3">
      <c r="A389" s="5" t="s">
        <v>692</v>
      </c>
      <c r="B389" s="5" t="s">
        <v>690</v>
      </c>
      <c r="C389" s="5" t="s">
        <v>32</v>
      </c>
      <c r="D389" s="5" t="s">
        <v>33</v>
      </c>
      <c r="E389" s="5" t="s">
        <v>106</v>
      </c>
      <c r="F389" s="5" t="s">
        <v>17</v>
      </c>
      <c r="G389" s="5">
        <v>3</v>
      </c>
      <c r="H389" s="6">
        <v>199</v>
      </c>
      <c r="I389" s="6">
        <f t="shared" si="60"/>
        <v>597</v>
      </c>
      <c r="J389" s="7">
        <v>0</v>
      </c>
      <c r="K389" s="6">
        <f t="shared" si="61"/>
        <v>597</v>
      </c>
      <c r="L389" s="5" t="s">
        <v>18</v>
      </c>
      <c r="M389" s="31">
        <f t="shared" si="62"/>
        <v>597</v>
      </c>
      <c r="N389" s="33">
        <f t="shared" si="63"/>
        <v>398</v>
      </c>
      <c r="O389" s="31" t="str">
        <f t="shared" si="64"/>
        <v>March</v>
      </c>
      <c r="P389" s="33">
        <f t="shared" si="65"/>
        <v>-398</v>
      </c>
      <c r="Q389" s="33">
        <f t="shared" si="66"/>
        <v>0.66666666666666663</v>
      </c>
      <c r="R389" s="33">
        <f t="shared" si="67"/>
        <v>199</v>
      </c>
      <c r="S389" s="33" t="str">
        <f t="shared" si="68"/>
        <v>Small</v>
      </c>
      <c r="T389" s="33" t="str">
        <f t="shared" si="69"/>
        <v>High</v>
      </c>
    </row>
    <row r="390" spans="1:20" x14ac:dyDescent="0.3">
      <c r="A390" s="2" t="s">
        <v>693</v>
      </c>
      <c r="B390" s="2" t="s">
        <v>694</v>
      </c>
      <c r="C390" s="2" t="s">
        <v>80</v>
      </c>
      <c r="D390" s="2" t="s">
        <v>22</v>
      </c>
      <c r="E390" s="2" t="s">
        <v>74</v>
      </c>
      <c r="F390" s="2" t="s">
        <v>30</v>
      </c>
      <c r="G390" s="2">
        <v>15</v>
      </c>
      <c r="H390" s="3">
        <v>49.99</v>
      </c>
      <c r="I390" s="3">
        <f t="shared" si="60"/>
        <v>749.85</v>
      </c>
      <c r="J390" s="4">
        <v>15</v>
      </c>
      <c r="K390" s="3">
        <f t="shared" si="61"/>
        <v>637.37250000000006</v>
      </c>
      <c r="L390" s="2" t="s">
        <v>18</v>
      </c>
      <c r="M390" s="31">
        <f t="shared" si="62"/>
        <v>749.85</v>
      </c>
      <c r="N390" s="33">
        <f t="shared" si="63"/>
        <v>699.86</v>
      </c>
      <c r="O390" s="31" t="str">
        <f t="shared" si="64"/>
        <v>March</v>
      </c>
      <c r="P390" s="33">
        <f t="shared" si="65"/>
        <v>-587.38250000000005</v>
      </c>
      <c r="Q390" s="33">
        <f t="shared" si="66"/>
        <v>1.0980392156862744</v>
      </c>
      <c r="R390" s="33">
        <f t="shared" si="67"/>
        <v>42.491500000000002</v>
      </c>
      <c r="S390" s="33" t="str">
        <f t="shared" si="68"/>
        <v>Large</v>
      </c>
      <c r="T390" s="33" t="str">
        <f t="shared" si="69"/>
        <v>Low</v>
      </c>
    </row>
    <row r="391" spans="1:20" x14ac:dyDescent="0.3">
      <c r="A391" s="5" t="s">
        <v>695</v>
      </c>
      <c r="B391" s="5" t="s">
        <v>696</v>
      </c>
      <c r="C391" s="5" t="s">
        <v>32</v>
      </c>
      <c r="D391" s="5" t="s">
        <v>33</v>
      </c>
      <c r="E391" s="5" t="s">
        <v>99</v>
      </c>
      <c r="F391" s="5" t="s">
        <v>30</v>
      </c>
      <c r="G391" s="5">
        <v>26</v>
      </c>
      <c r="H391" s="6">
        <v>89.99</v>
      </c>
      <c r="I391" s="6">
        <f t="shared" si="60"/>
        <v>2339.7399999999998</v>
      </c>
      <c r="J391" s="7">
        <v>5</v>
      </c>
      <c r="K391" s="6">
        <f t="shared" si="61"/>
        <v>2222.7529999999997</v>
      </c>
      <c r="L391" s="5" t="s">
        <v>18</v>
      </c>
      <c r="M391" s="31">
        <f t="shared" si="62"/>
        <v>2339.7399999999998</v>
      </c>
      <c r="N391" s="33">
        <f t="shared" si="63"/>
        <v>2249.75</v>
      </c>
      <c r="O391" s="31" t="str">
        <f t="shared" si="64"/>
        <v>March</v>
      </c>
      <c r="P391" s="33">
        <f t="shared" si="65"/>
        <v>-2132.7629999999999</v>
      </c>
      <c r="Q391" s="33">
        <f t="shared" si="66"/>
        <v>1.0121457489878545</v>
      </c>
      <c r="R391" s="33">
        <f t="shared" si="67"/>
        <v>85.490499999999983</v>
      </c>
      <c r="S391" s="33" t="str">
        <f t="shared" si="68"/>
        <v>Large</v>
      </c>
      <c r="T391" s="33" t="str">
        <f t="shared" si="69"/>
        <v>Low</v>
      </c>
    </row>
    <row r="392" spans="1:20" x14ac:dyDescent="0.3">
      <c r="A392" s="2" t="s">
        <v>697</v>
      </c>
      <c r="B392" s="2" t="s">
        <v>698</v>
      </c>
      <c r="C392" s="2" t="s">
        <v>41</v>
      </c>
      <c r="D392" s="2" t="s">
        <v>15</v>
      </c>
      <c r="E392" s="2" t="s">
        <v>141</v>
      </c>
      <c r="F392" s="2" t="s">
        <v>17</v>
      </c>
      <c r="G392" s="2">
        <v>27</v>
      </c>
      <c r="H392" s="3">
        <v>169</v>
      </c>
      <c r="I392" s="3">
        <f t="shared" si="60"/>
        <v>4563</v>
      </c>
      <c r="J392" s="4">
        <v>15</v>
      </c>
      <c r="K392" s="3">
        <f t="shared" si="61"/>
        <v>3878.5499999999997</v>
      </c>
      <c r="L392" s="2" t="s">
        <v>18</v>
      </c>
      <c r="M392" s="31">
        <f t="shared" si="62"/>
        <v>4563</v>
      </c>
      <c r="N392" s="33">
        <f t="shared" si="63"/>
        <v>4394</v>
      </c>
      <c r="O392" s="31" t="str">
        <f t="shared" si="64"/>
        <v>March</v>
      </c>
      <c r="P392" s="33">
        <f t="shared" si="65"/>
        <v>-3709.5499999999997</v>
      </c>
      <c r="Q392" s="33">
        <f t="shared" si="66"/>
        <v>1.1328976034858389</v>
      </c>
      <c r="R392" s="33">
        <f t="shared" si="67"/>
        <v>143.64999999999998</v>
      </c>
      <c r="S392" s="33" t="str">
        <f t="shared" si="68"/>
        <v>Large</v>
      </c>
      <c r="T392" s="33" t="str">
        <f t="shared" si="69"/>
        <v>High</v>
      </c>
    </row>
    <row r="393" spans="1:20" x14ac:dyDescent="0.3">
      <c r="A393" s="8" t="s">
        <v>699</v>
      </c>
      <c r="B393" s="8" t="s">
        <v>698</v>
      </c>
      <c r="C393" s="8" t="s">
        <v>80</v>
      </c>
      <c r="D393" s="8" t="s">
        <v>22</v>
      </c>
      <c r="E393" s="8" t="s">
        <v>23</v>
      </c>
      <c r="F393" s="8" t="s">
        <v>24</v>
      </c>
      <c r="G393" s="8">
        <v>16</v>
      </c>
      <c r="H393" s="9">
        <v>999</v>
      </c>
      <c r="I393" s="9">
        <f t="shared" si="60"/>
        <v>15984</v>
      </c>
      <c r="J393" s="10">
        <v>10</v>
      </c>
      <c r="K393" s="9">
        <f t="shared" si="61"/>
        <v>14385.6</v>
      </c>
      <c r="L393" s="8" t="s">
        <v>72</v>
      </c>
      <c r="M393" s="31">
        <f t="shared" si="62"/>
        <v>15984</v>
      </c>
      <c r="N393" s="33">
        <f t="shared" si="63"/>
        <v>14985</v>
      </c>
      <c r="O393" s="31" t="str">
        <f t="shared" si="64"/>
        <v>March</v>
      </c>
      <c r="P393" s="33">
        <f t="shared" si="65"/>
        <v>-13386.6</v>
      </c>
      <c r="Q393" s="33">
        <f t="shared" si="66"/>
        <v>1.0416666666666667</v>
      </c>
      <c r="R393" s="33">
        <f t="shared" si="67"/>
        <v>899.1</v>
      </c>
      <c r="S393" s="33" t="str">
        <f t="shared" si="68"/>
        <v>Large</v>
      </c>
      <c r="T393" s="33" t="str">
        <f t="shared" si="69"/>
        <v>High</v>
      </c>
    </row>
    <row r="394" spans="1:20" x14ac:dyDescent="0.3">
      <c r="A394" s="2" t="s">
        <v>700</v>
      </c>
      <c r="B394" s="2" t="s">
        <v>701</v>
      </c>
      <c r="C394" s="2" t="s">
        <v>21</v>
      </c>
      <c r="D394" s="2" t="s">
        <v>22</v>
      </c>
      <c r="E394" s="2" t="s">
        <v>103</v>
      </c>
      <c r="F394" s="2" t="s">
        <v>61</v>
      </c>
      <c r="G394" s="2">
        <v>4</v>
      </c>
      <c r="H394" s="3">
        <v>99</v>
      </c>
      <c r="I394" s="3">
        <f t="shared" si="60"/>
        <v>396</v>
      </c>
      <c r="J394" s="4">
        <v>8</v>
      </c>
      <c r="K394" s="3">
        <f t="shared" si="61"/>
        <v>364.32</v>
      </c>
      <c r="L394" s="2" t="s">
        <v>18</v>
      </c>
      <c r="M394" s="31">
        <f t="shared" si="62"/>
        <v>396</v>
      </c>
      <c r="N394" s="33">
        <f t="shared" si="63"/>
        <v>297</v>
      </c>
      <c r="O394" s="31" t="str">
        <f t="shared" si="64"/>
        <v>March</v>
      </c>
      <c r="P394" s="33">
        <f t="shared" si="65"/>
        <v>-265.32</v>
      </c>
      <c r="Q394" s="33">
        <f t="shared" si="66"/>
        <v>0.81521739130434789</v>
      </c>
      <c r="R394" s="33">
        <f t="shared" si="67"/>
        <v>91.08</v>
      </c>
      <c r="S394" s="33" t="str">
        <f t="shared" si="68"/>
        <v>Small</v>
      </c>
      <c r="T394" s="33" t="str">
        <f t="shared" si="69"/>
        <v>High</v>
      </c>
    </row>
    <row r="395" spans="1:20" x14ac:dyDescent="0.3">
      <c r="A395" s="5" t="s">
        <v>702</v>
      </c>
      <c r="B395" s="5" t="s">
        <v>703</v>
      </c>
      <c r="C395" s="5" t="s">
        <v>41</v>
      </c>
      <c r="D395" s="5" t="s">
        <v>15</v>
      </c>
      <c r="E395" s="5" t="s">
        <v>43</v>
      </c>
      <c r="F395" s="5" t="s">
        <v>24</v>
      </c>
      <c r="G395" s="5">
        <v>28</v>
      </c>
      <c r="H395" s="6">
        <v>399</v>
      </c>
      <c r="I395" s="6">
        <f t="shared" si="60"/>
        <v>11172</v>
      </c>
      <c r="J395" s="7">
        <v>8</v>
      </c>
      <c r="K395" s="6">
        <f t="shared" si="61"/>
        <v>10278.24</v>
      </c>
      <c r="L395" s="5" t="s">
        <v>18</v>
      </c>
      <c r="M395" s="31">
        <f t="shared" si="62"/>
        <v>11172</v>
      </c>
      <c r="N395" s="33">
        <f t="shared" si="63"/>
        <v>10773</v>
      </c>
      <c r="O395" s="31" t="str">
        <f t="shared" si="64"/>
        <v>March</v>
      </c>
      <c r="P395" s="33">
        <f t="shared" si="65"/>
        <v>-9879.24</v>
      </c>
      <c r="Q395" s="33">
        <f t="shared" si="66"/>
        <v>1.048136645962733</v>
      </c>
      <c r="R395" s="33">
        <f t="shared" si="67"/>
        <v>367.08</v>
      </c>
      <c r="S395" s="33" t="str">
        <f t="shared" si="68"/>
        <v>Large</v>
      </c>
      <c r="T395" s="33" t="str">
        <f t="shared" si="69"/>
        <v>Low</v>
      </c>
    </row>
    <row r="396" spans="1:20" x14ac:dyDescent="0.3">
      <c r="A396" s="2" t="s">
        <v>704</v>
      </c>
      <c r="B396" s="2" t="s">
        <v>703</v>
      </c>
      <c r="C396" s="2" t="s">
        <v>32</v>
      </c>
      <c r="D396" s="2" t="s">
        <v>33</v>
      </c>
      <c r="E396" s="2" t="s">
        <v>87</v>
      </c>
      <c r="F396" s="2" t="s">
        <v>61</v>
      </c>
      <c r="G396" s="2">
        <v>5</v>
      </c>
      <c r="H396" s="3">
        <v>299</v>
      </c>
      <c r="I396" s="3">
        <f t="shared" si="60"/>
        <v>1495</v>
      </c>
      <c r="J396" s="4">
        <v>5</v>
      </c>
      <c r="K396" s="3">
        <f t="shared" si="61"/>
        <v>1420.25</v>
      </c>
      <c r="L396" s="2" t="s">
        <v>18</v>
      </c>
      <c r="M396" s="31">
        <f t="shared" si="62"/>
        <v>1495</v>
      </c>
      <c r="N396" s="33">
        <f t="shared" si="63"/>
        <v>1196</v>
      </c>
      <c r="O396" s="31" t="str">
        <f t="shared" si="64"/>
        <v>March</v>
      </c>
      <c r="P396" s="33">
        <f t="shared" si="65"/>
        <v>-1121.25</v>
      </c>
      <c r="Q396" s="33">
        <f t="shared" si="66"/>
        <v>0.84210526315789469</v>
      </c>
      <c r="R396" s="33">
        <f t="shared" si="67"/>
        <v>284.05</v>
      </c>
      <c r="S396" s="33" t="str">
        <f t="shared" si="68"/>
        <v>Small</v>
      </c>
      <c r="T396" s="33" t="str">
        <f t="shared" si="69"/>
        <v>High</v>
      </c>
    </row>
    <row r="397" spans="1:20" x14ac:dyDescent="0.3">
      <c r="A397" s="5" t="s">
        <v>705</v>
      </c>
      <c r="B397" s="5" t="s">
        <v>706</v>
      </c>
      <c r="C397" s="5" t="s">
        <v>52</v>
      </c>
      <c r="D397" s="5" t="s">
        <v>33</v>
      </c>
      <c r="E397" s="5" t="s">
        <v>93</v>
      </c>
      <c r="F397" s="5" t="s">
        <v>24</v>
      </c>
      <c r="G397" s="5">
        <v>1</v>
      </c>
      <c r="H397" s="6">
        <v>599</v>
      </c>
      <c r="I397" s="6">
        <f t="shared" si="60"/>
        <v>599</v>
      </c>
      <c r="J397" s="7">
        <v>12</v>
      </c>
      <c r="K397" s="6">
        <f t="shared" si="61"/>
        <v>527.12</v>
      </c>
      <c r="L397" s="5" t="s">
        <v>18</v>
      </c>
      <c r="M397" s="31">
        <f t="shared" si="62"/>
        <v>599</v>
      </c>
      <c r="N397" s="33">
        <f t="shared" si="63"/>
        <v>0</v>
      </c>
      <c r="O397" s="31" t="str">
        <f t="shared" si="64"/>
        <v>March</v>
      </c>
      <c r="P397" s="33">
        <f t="shared" si="65"/>
        <v>71.88</v>
      </c>
      <c r="Q397" s="33">
        <f t="shared" si="66"/>
        <v>0</v>
      </c>
      <c r="R397" s="33">
        <f t="shared" si="67"/>
        <v>527.12</v>
      </c>
      <c r="S397" s="33" t="str">
        <f t="shared" si="68"/>
        <v>Small</v>
      </c>
      <c r="T397" s="33" t="str">
        <f t="shared" si="69"/>
        <v>High</v>
      </c>
    </row>
    <row r="398" spans="1:20" x14ac:dyDescent="0.3">
      <c r="A398" s="2" t="s">
        <v>707</v>
      </c>
      <c r="B398" s="2" t="s">
        <v>708</v>
      </c>
      <c r="C398" s="2" t="s">
        <v>21</v>
      </c>
      <c r="D398" s="2" t="s">
        <v>22</v>
      </c>
      <c r="E398" s="2" t="s">
        <v>71</v>
      </c>
      <c r="F398" s="2" t="s">
        <v>24</v>
      </c>
      <c r="G398" s="2">
        <v>4</v>
      </c>
      <c r="H398" s="3">
        <v>249</v>
      </c>
      <c r="I398" s="3">
        <f t="shared" si="60"/>
        <v>996</v>
      </c>
      <c r="J398" s="4">
        <v>0</v>
      </c>
      <c r="K398" s="3">
        <f t="shared" si="61"/>
        <v>996</v>
      </c>
      <c r="L398" s="2" t="s">
        <v>18</v>
      </c>
      <c r="M398" s="31">
        <f t="shared" si="62"/>
        <v>996</v>
      </c>
      <c r="N398" s="33">
        <f t="shared" si="63"/>
        <v>747</v>
      </c>
      <c r="O398" s="31" t="str">
        <f t="shared" si="64"/>
        <v>March</v>
      </c>
      <c r="P398" s="33">
        <f t="shared" si="65"/>
        <v>-747</v>
      </c>
      <c r="Q398" s="33">
        <f t="shared" si="66"/>
        <v>0.75</v>
      </c>
      <c r="R398" s="33">
        <f t="shared" si="67"/>
        <v>249</v>
      </c>
      <c r="S398" s="33" t="str">
        <f t="shared" si="68"/>
        <v>Small</v>
      </c>
      <c r="T398" s="33" t="str">
        <f t="shared" si="69"/>
        <v>Low</v>
      </c>
    </row>
    <row r="399" spans="1:20" x14ac:dyDescent="0.3">
      <c r="A399" s="5" t="s">
        <v>709</v>
      </c>
      <c r="B399" s="5" t="s">
        <v>710</v>
      </c>
      <c r="C399" s="5" t="s">
        <v>37</v>
      </c>
      <c r="D399" s="5" t="s">
        <v>38</v>
      </c>
      <c r="E399" s="5" t="s">
        <v>29</v>
      </c>
      <c r="F399" s="5" t="s">
        <v>30</v>
      </c>
      <c r="G399" s="5">
        <v>24</v>
      </c>
      <c r="H399" s="6">
        <v>29.99</v>
      </c>
      <c r="I399" s="6">
        <f t="shared" si="60"/>
        <v>719.76</v>
      </c>
      <c r="J399" s="7">
        <v>0</v>
      </c>
      <c r="K399" s="6">
        <f t="shared" si="61"/>
        <v>719.76</v>
      </c>
      <c r="L399" s="5" t="s">
        <v>18</v>
      </c>
      <c r="M399" s="31">
        <f t="shared" si="62"/>
        <v>719.76</v>
      </c>
      <c r="N399" s="33">
        <f t="shared" si="63"/>
        <v>689.77</v>
      </c>
      <c r="O399" s="31" t="str">
        <f t="shared" si="64"/>
        <v>March</v>
      </c>
      <c r="P399" s="33">
        <f t="shared" si="65"/>
        <v>-689.77</v>
      </c>
      <c r="Q399" s="33">
        <f t="shared" si="66"/>
        <v>0.95833333333333337</v>
      </c>
      <c r="R399" s="33">
        <f t="shared" si="67"/>
        <v>29.99</v>
      </c>
      <c r="S399" s="33" t="str">
        <f t="shared" si="68"/>
        <v>Large</v>
      </c>
      <c r="T399" s="33" t="str">
        <f t="shared" si="69"/>
        <v>Low</v>
      </c>
    </row>
    <row r="400" spans="1:20" x14ac:dyDescent="0.3">
      <c r="A400" s="2" t="s">
        <v>711</v>
      </c>
      <c r="B400" s="2" t="s">
        <v>712</v>
      </c>
      <c r="C400" s="2" t="s">
        <v>41</v>
      </c>
      <c r="D400" s="2" t="s">
        <v>15</v>
      </c>
      <c r="E400" s="2" t="s">
        <v>23</v>
      </c>
      <c r="F400" s="2" t="s">
        <v>24</v>
      </c>
      <c r="G400" s="2">
        <v>24</v>
      </c>
      <c r="H400" s="3">
        <v>999</v>
      </c>
      <c r="I400" s="3">
        <f t="shared" si="60"/>
        <v>23976</v>
      </c>
      <c r="J400" s="4">
        <v>8</v>
      </c>
      <c r="K400" s="3">
        <f t="shared" si="61"/>
        <v>22057.920000000002</v>
      </c>
      <c r="L400" s="2" t="s">
        <v>18</v>
      </c>
      <c r="M400" s="31">
        <f t="shared" si="62"/>
        <v>23976</v>
      </c>
      <c r="N400" s="33">
        <f t="shared" si="63"/>
        <v>22977</v>
      </c>
      <c r="O400" s="31" t="str">
        <f t="shared" si="64"/>
        <v>March</v>
      </c>
      <c r="P400" s="33">
        <f t="shared" si="65"/>
        <v>-21058.920000000002</v>
      </c>
      <c r="Q400" s="33">
        <f t="shared" si="66"/>
        <v>1.0416666666666665</v>
      </c>
      <c r="R400" s="33">
        <f t="shared" si="67"/>
        <v>919.08</v>
      </c>
      <c r="S400" s="33" t="str">
        <f t="shared" si="68"/>
        <v>Large</v>
      </c>
      <c r="T400" s="33" t="str">
        <f t="shared" si="69"/>
        <v>Low</v>
      </c>
    </row>
    <row r="401" spans="1:20" x14ac:dyDescent="0.3">
      <c r="A401" s="5" t="s">
        <v>713</v>
      </c>
      <c r="B401" s="5" t="s">
        <v>714</v>
      </c>
      <c r="C401" s="5" t="s">
        <v>49</v>
      </c>
      <c r="D401" s="5" t="s">
        <v>38</v>
      </c>
      <c r="E401" s="5" t="s">
        <v>66</v>
      </c>
      <c r="F401" s="5" t="s">
        <v>17</v>
      </c>
      <c r="G401" s="5">
        <v>12</v>
      </c>
      <c r="H401" s="6">
        <v>549</v>
      </c>
      <c r="I401" s="6">
        <f t="shared" si="60"/>
        <v>6588</v>
      </c>
      <c r="J401" s="7">
        <v>8</v>
      </c>
      <c r="K401" s="6">
        <f t="shared" si="61"/>
        <v>6060.96</v>
      </c>
      <c r="L401" s="5" t="s">
        <v>18</v>
      </c>
      <c r="M401" s="31">
        <f t="shared" si="62"/>
        <v>6588</v>
      </c>
      <c r="N401" s="33">
        <f t="shared" si="63"/>
        <v>6039</v>
      </c>
      <c r="O401" s="31" t="str">
        <f t="shared" si="64"/>
        <v>March</v>
      </c>
      <c r="P401" s="33">
        <f t="shared" si="65"/>
        <v>-5511.96</v>
      </c>
      <c r="Q401" s="33">
        <f t="shared" si="66"/>
        <v>0.99637681159420288</v>
      </c>
      <c r="R401" s="33">
        <f t="shared" si="67"/>
        <v>505.08</v>
      </c>
      <c r="S401" s="33" t="str">
        <f t="shared" si="68"/>
        <v>Large</v>
      </c>
      <c r="T401" s="33" t="str">
        <f t="shared" si="69"/>
        <v>High</v>
      </c>
    </row>
    <row r="402" spans="1:20" x14ac:dyDescent="0.3">
      <c r="A402" s="2" t="s">
        <v>715</v>
      </c>
      <c r="B402" s="2" t="s">
        <v>714</v>
      </c>
      <c r="C402" s="2" t="s">
        <v>52</v>
      </c>
      <c r="D402" s="2" t="s">
        <v>33</v>
      </c>
      <c r="E402" s="2" t="s">
        <v>43</v>
      </c>
      <c r="F402" s="2" t="s">
        <v>24</v>
      </c>
      <c r="G402" s="2">
        <v>13</v>
      </c>
      <c r="H402" s="3">
        <v>399</v>
      </c>
      <c r="I402" s="3">
        <f t="shared" si="60"/>
        <v>5187</v>
      </c>
      <c r="J402" s="4">
        <v>0</v>
      </c>
      <c r="K402" s="3">
        <f t="shared" si="61"/>
        <v>5187</v>
      </c>
      <c r="L402" s="2" t="s">
        <v>18</v>
      </c>
      <c r="M402" s="31">
        <f t="shared" si="62"/>
        <v>5187</v>
      </c>
      <c r="N402" s="33">
        <f t="shared" si="63"/>
        <v>4788</v>
      </c>
      <c r="O402" s="31" t="str">
        <f t="shared" si="64"/>
        <v>March</v>
      </c>
      <c r="P402" s="33">
        <f t="shared" si="65"/>
        <v>-4788</v>
      </c>
      <c r="Q402" s="33">
        <f t="shared" si="66"/>
        <v>0.92307692307692313</v>
      </c>
      <c r="R402" s="33">
        <f t="shared" si="67"/>
        <v>399</v>
      </c>
      <c r="S402" s="33" t="str">
        <f t="shared" si="68"/>
        <v>Large</v>
      </c>
      <c r="T402" s="33" t="str">
        <f t="shared" si="69"/>
        <v>High</v>
      </c>
    </row>
    <row r="403" spans="1:20" x14ac:dyDescent="0.3">
      <c r="A403" s="5" t="s">
        <v>716</v>
      </c>
      <c r="B403" s="5" t="s">
        <v>717</v>
      </c>
      <c r="C403" s="5" t="s">
        <v>14</v>
      </c>
      <c r="D403" s="5" t="s">
        <v>15</v>
      </c>
      <c r="E403" s="5" t="s">
        <v>90</v>
      </c>
      <c r="F403" s="5" t="s">
        <v>24</v>
      </c>
      <c r="G403" s="5">
        <v>27</v>
      </c>
      <c r="H403" s="6">
        <v>149.99</v>
      </c>
      <c r="I403" s="6">
        <f t="shared" si="60"/>
        <v>4049.7300000000005</v>
      </c>
      <c r="J403" s="7">
        <v>0</v>
      </c>
      <c r="K403" s="6">
        <f t="shared" si="61"/>
        <v>4049.7300000000005</v>
      </c>
      <c r="L403" s="5" t="s">
        <v>18</v>
      </c>
      <c r="M403" s="31">
        <f t="shared" si="62"/>
        <v>4049.7300000000005</v>
      </c>
      <c r="N403" s="33">
        <f t="shared" si="63"/>
        <v>3899.7400000000007</v>
      </c>
      <c r="O403" s="31" t="str">
        <f t="shared" si="64"/>
        <v>March</v>
      </c>
      <c r="P403" s="33">
        <f t="shared" si="65"/>
        <v>-3899.7400000000007</v>
      </c>
      <c r="Q403" s="33">
        <f t="shared" si="66"/>
        <v>0.96296296296296302</v>
      </c>
      <c r="R403" s="33">
        <f t="shared" si="67"/>
        <v>149.99</v>
      </c>
      <c r="S403" s="33" t="str">
        <f t="shared" si="68"/>
        <v>Large</v>
      </c>
      <c r="T403" s="33" t="str">
        <f t="shared" si="69"/>
        <v>High</v>
      </c>
    </row>
    <row r="404" spans="1:20" x14ac:dyDescent="0.3">
      <c r="A404" s="2" t="s">
        <v>718</v>
      </c>
      <c r="B404" s="2" t="s">
        <v>719</v>
      </c>
      <c r="C404" s="2" t="s">
        <v>14</v>
      </c>
      <c r="D404" s="2" t="s">
        <v>15</v>
      </c>
      <c r="E404" s="2" t="s">
        <v>23</v>
      </c>
      <c r="F404" s="2" t="s">
        <v>24</v>
      </c>
      <c r="G404" s="2">
        <v>8</v>
      </c>
      <c r="H404" s="3">
        <v>999</v>
      </c>
      <c r="I404" s="3">
        <f t="shared" si="60"/>
        <v>7992</v>
      </c>
      <c r="J404" s="4">
        <v>12</v>
      </c>
      <c r="K404" s="3">
        <f t="shared" si="61"/>
        <v>7032.96</v>
      </c>
      <c r="L404" s="2" t="s">
        <v>18</v>
      </c>
      <c r="M404" s="31">
        <f t="shared" si="62"/>
        <v>7992</v>
      </c>
      <c r="N404" s="33">
        <f t="shared" si="63"/>
        <v>6993</v>
      </c>
      <c r="O404" s="31" t="str">
        <f t="shared" si="64"/>
        <v>March</v>
      </c>
      <c r="P404" s="33">
        <f t="shared" si="65"/>
        <v>-6033.96</v>
      </c>
      <c r="Q404" s="33">
        <f t="shared" si="66"/>
        <v>0.99431818181818177</v>
      </c>
      <c r="R404" s="33">
        <f t="shared" si="67"/>
        <v>879.12</v>
      </c>
      <c r="S404" s="33" t="str">
        <f t="shared" si="68"/>
        <v>Small</v>
      </c>
      <c r="T404" s="33" t="str">
        <f t="shared" si="69"/>
        <v>High</v>
      </c>
    </row>
    <row r="405" spans="1:20" x14ac:dyDescent="0.3">
      <c r="A405" s="5" t="s">
        <v>720</v>
      </c>
      <c r="B405" s="5" t="s">
        <v>721</v>
      </c>
      <c r="C405" s="5" t="s">
        <v>52</v>
      </c>
      <c r="D405" s="5" t="s">
        <v>33</v>
      </c>
      <c r="E405" s="5" t="s">
        <v>66</v>
      </c>
      <c r="F405" s="5" t="s">
        <v>17</v>
      </c>
      <c r="G405" s="5">
        <v>29</v>
      </c>
      <c r="H405" s="6">
        <v>549</v>
      </c>
      <c r="I405" s="6">
        <f t="shared" si="60"/>
        <v>15921</v>
      </c>
      <c r="J405" s="7">
        <v>10</v>
      </c>
      <c r="K405" s="6">
        <f t="shared" si="61"/>
        <v>14328.9</v>
      </c>
      <c r="L405" s="5" t="s">
        <v>18</v>
      </c>
      <c r="M405" s="31">
        <f t="shared" si="62"/>
        <v>15921</v>
      </c>
      <c r="N405" s="33">
        <f t="shared" si="63"/>
        <v>15372</v>
      </c>
      <c r="O405" s="31" t="str">
        <f t="shared" si="64"/>
        <v>March</v>
      </c>
      <c r="P405" s="33">
        <f t="shared" si="65"/>
        <v>-13779.9</v>
      </c>
      <c r="Q405" s="33">
        <f t="shared" si="66"/>
        <v>1.0727969348659003</v>
      </c>
      <c r="R405" s="33">
        <f t="shared" si="67"/>
        <v>494.09999999999997</v>
      </c>
      <c r="S405" s="33" t="str">
        <f t="shared" si="68"/>
        <v>Large</v>
      </c>
      <c r="T405" s="33" t="str">
        <f t="shared" si="69"/>
        <v>High</v>
      </c>
    </row>
    <row r="406" spans="1:20" x14ac:dyDescent="0.3">
      <c r="A406" s="2" t="s">
        <v>722</v>
      </c>
      <c r="B406" s="2" t="s">
        <v>723</v>
      </c>
      <c r="C406" s="2" t="s">
        <v>41</v>
      </c>
      <c r="D406" s="2" t="s">
        <v>15</v>
      </c>
      <c r="E406" s="2" t="s">
        <v>77</v>
      </c>
      <c r="F406" s="2" t="s">
        <v>61</v>
      </c>
      <c r="G406" s="2">
        <v>14</v>
      </c>
      <c r="H406" s="3">
        <v>149</v>
      </c>
      <c r="I406" s="3">
        <f t="shared" si="60"/>
        <v>2086</v>
      </c>
      <c r="J406" s="4">
        <v>12</v>
      </c>
      <c r="K406" s="3">
        <f t="shared" si="61"/>
        <v>1835.68</v>
      </c>
      <c r="L406" s="2" t="s">
        <v>18</v>
      </c>
      <c r="M406" s="31">
        <f t="shared" si="62"/>
        <v>2086</v>
      </c>
      <c r="N406" s="33">
        <f t="shared" si="63"/>
        <v>1937</v>
      </c>
      <c r="O406" s="31" t="str">
        <f t="shared" si="64"/>
        <v>March</v>
      </c>
      <c r="P406" s="33">
        <f t="shared" si="65"/>
        <v>-1686.68</v>
      </c>
      <c r="Q406" s="33">
        <f t="shared" si="66"/>
        <v>1.0551948051948052</v>
      </c>
      <c r="R406" s="33">
        <f t="shared" si="67"/>
        <v>131.12</v>
      </c>
      <c r="S406" s="33" t="str">
        <f t="shared" si="68"/>
        <v>Large</v>
      </c>
      <c r="T406" s="33" t="str">
        <f t="shared" si="69"/>
        <v>High</v>
      </c>
    </row>
    <row r="407" spans="1:20" x14ac:dyDescent="0.3">
      <c r="A407" s="5" t="s">
        <v>724</v>
      </c>
      <c r="B407" s="5" t="s">
        <v>725</v>
      </c>
      <c r="C407" s="5" t="s">
        <v>37</v>
      </c>
      <c r="D407" s="5" t="s">
        <v>38</v>
      </c>
      <c r="E407" s="5" t="s">
        <v>39</v>
      </c>
      <c r="F407" s="5" t="s">
        <v>17</v>
      </c>
      <c r="G407" s="5">
        <v>8</v>
      </c>
      <c r="H407" s="6">
        <v>299</v>
      </c>
      <c r="I407" s="6">
        <f t="shared" si="60"/>
        <v>2392</v>
      </c>
      <c r="J407" s="7">
        <v>0</v>
      </c>
      <c r="K407" s="6">
        <f t="shared" si="61"/>
        <v>2392</v>
      </c>
      <c r="L407" s="5" t="s">
        <v>18</v>
      </c>
      <c r="M407" s="31">
        <f t="shared" si="62"/>
        <v>2392</v>
      </c>
      <c r="N407" s="33">
        <f t="shared" si="63"/>
        <v>2093</v>
      </c>
      <c r="O407" s="31" t="str">
        <f t="shared" si="64"/>
        <v>March</v>
      </c>
      <c r="P407" s="33">
        <f t="shared" si="65"/>
        <v>-2093</v>
      </c>
      <c r="Q407" s="33">
        <f t="shared" si="66"/>
        <v>0.875</v>
      </c>
      <c r="R407" s="33">
        <f t="shared" si="67"/>
        <v>299</v>
      </c>
      <c r="S407" s="33" t="str">
        <f t="shared" si="68"/>
        <v>Small</v>
      </c>
      <c r="T407" s="33" t="str">
        <f t="shared" si="69"/>
        <v>High</v>
      </c>
    </row>
    <row r="408" spans="1:20" x14ac:dyDescent="0.3">
      <c r="A408" s="2" t="s">
        <v>726</v>
      </c>
      <c r="B408" s="2" t="s">
        <v>727</v>
      </c>
      <c r="C408" s="2" t="s">
        <v>21</v>
      </c>
      <c r="D408" s="2" t="s">
        <v>22</v>
      </c>
      <c r="E408" s="2" t="s">
        <v>144</v>
      </c>
      <c r="F408" s="2" t="s">
        <v>30</v>
      </c>
      <c r="G408" s="2">
        <v>22</v>
      </c>
      <c r="H408" s="3">
        <v>79.989999999999995</v>
      </c>
      <c r="I408" s="3">
        <f t="shared" si="60"/>
        <v>1759.78</v>
      </c>
      <c r="J408" s="4">
        <v>5</v>
      </c>
      <c r="K408" s="3">
        <f t="shared" si="61"/>
        <v>1671.7909999999999</v>
      </c>
      <c r="L408" s="2" t="s">
        <v>18</v>
      </c>
      <c r="M408" s="31">
        <f t="shared" si="62"/>
        <v>1759.78</v>
      </c>
      <c r="N408" s="33">
        <f t="shared" si="63"/>
        <v>1679.79</v>
      </c>
      <c r="O408" s="31" t="str">
        <f t="shared" si="64"/>
        <v>March</v>
      </c>
      <c r="P408" s="33">
        <f t="shared" si="65"/>
        <v>-1591.8009999999999</v>
      </c>
      <c r="Q408" s="33">
        <f t="shared" si="66"/>
        <v>1.0047846889952152</v>
      </c>
      <c r="R408" s="33">
        <f t="shared" si="67"/>
        <v>75.990499999999997</v>
      </c>
      <c r="S408" s="33" t="str">
        <f t="shared" si="68"/>
        <v>Large</v>
      </c>
      <c r="T408" s="33" t="str">
        <f t="shared" si="69"/>
        <v>High</v>
      </c>
    </row>
    <row r="409" spans="1:20" x14ac:dyDescent="0.3">
      <c r="A409" s="5" t="s">
        <v>728</v>
      </c>
      <c r="B409" s="5" t="s">
        <v>727</v>
      </c>
      <c r="C409" s="5" t="s">
        <v>49</v>
      </c>
      <c r="D409" s="5" t="s">
        <v>38</v>
      </c>
      <c r="E409" s="5" t="s">
        <v>87</v>
      </c>
      <c r="F409" s="5" t="s">
        <v>61</v>
      </c>
      <c r="G409" s="5">
        <v>14</v>
      </c>
      <c r="H409" s="6">
        <v>299</v>
      </c>
      <c r="I409" s="6">
        <f t="shared" si="60"/>
        <v>4186</v>
      </c>
      <c r="J409" s="7">
        <v>0</v>
      </c>
      <c r="K409" s="6">
        <f t="shared" si="61"/>
        <v>4186</v>
      </c>
      <c r="L409" s="5" t="s">
        <v>18</v>
      </c>
      <c r="M409" s="31">
        <f t="shared" si="62"/>
        <v>4186</v>
      </c>
      <c r="N409" s="33">
        <f t="shared" si="63"/>
        <v>3887</v>
      </c>
      <c r="O409" s="31" t="str">
        <f t="shared" si="64"/>
        <v>March</v>
      </c>
      <c r="P409" s="33">
        <f t="shared" si="65"/>
        <v>-3887</v>
      </c>
      <c r="Q409" s="33">
        <f t="shared" si="66"/>
        <v>0.9285714285714286</v>
      </c>
      <c r="R409" s="33">
        <f t="shared" si="67"/>
        <v>299</v>
      </c>
      <c r="S409" s="33" t="str">
        <f t="shared" si="68"/>
        <v>Large</v>
      </c>
      <c r="T409" s="33" t="str">
        <f t="shared" si="69"/>
        <v>High</v>
      </c>
    </row>
    <row r="410" spans="1:20" x14ac:dyDescent="0.3">
      <c r="A410" s="2" t="s">
        <v>729</v>
      </c>
      <c r="B410" s="2" t="s">
        <v>730</v>
      </c>
      <c r="C410" s="2" t="s">
        <v>14</v>
      </c>
      <c r="D410" s="2" t="s">
        <v>15</v>
      </c>
      <c r="E410" s="2" t="s">
        <v>43</v>
      </c>
      <c r="F410" s="2" t="s">
        <v>24</v>
      </c>
      <c r="G410" s="2">
        <v>15</v>
      </c>
      <c r="H410" s="3">
        <v>399</v>
      </c>
      <c r="I410" s="3">
        <f t="shared" si="60"/>
        <v>5985</v>
      </c>
      <c r="J410" s="4">
        <v>0</v>
      </c>
      <c r="K410" s="3">
        <f t="shared" si="61"/>
        <v>5985</v>
      </c>
      <c r="L410" s="2" t="s">
        <v>18</v>
      </c>
      <c r="M410" s="31">
        <f t="shared" si="62"/>
        <v>5985</v>
      </c>
      <c r="N410" s="33">
        <f t="shared" si="63"/>
        <v>5586</v>
      </c>
      <c r="O410" s="31" t="str">
        <f t="shared" si="64"/>
        <v>April</v>
      </c>
      <c r="P410" s="33">
        <f t="shared" si="65"/>
        <v>-5586</v>
      </c>
      <c r="Q410" s="33">
        <f t="shared" si="66"/>
        <v>0.93333333333333335</v>
      </c>
      <c r="R410" s="33">
        <f t="shared" si="67"/>
        <v>399</v>
      </c>
      <c r="S410" s="33" t="str">
        <f t="shared" si="68"/>
        <v>Large</v>
      </c>
      <c r="T410" s="33" t="str">
        <f t="shared" si="69"/>
        <v>High</v>
      </c>
    </row>
    <row r="411" spans="1:20" x14ac:dyDescent="0.3">
      <c r="A411" s="5" t="s">
        <v>731</v>
      </c>
      <c r="B411" s="5" t="s">
        <v>732</v>
      </c>
      <c r="C411" s="5" t="s">
        <v>55</v>
      </c>
      <c r="D411" s="5" t="s">
        <v>38</v>
      </c>
      <c r="E411" s="5" t="s">
        <v>99</v>
      </c>
      <c r="F411" s="5" t="s">
        <v>30</v>
      </c>
      <c r="G411" s="5">
        <v>25</v>
      </c>
      <c r="H411" s="6">
        <v>89.99</v>
      </c>
      <c r="I411" s="6">
        <f t="shared" si="60"/>
        <v>2249.75</v>
      </c>
      <c r="J411" s="7">
        <v>5</v>
      </c>
      <c r="K411" s="6">
        <f t="shared" si="61"/>
        <v>2137.2624999999998</v>
      </c>
      <c r="L411" s="5" t="s">
        <v>18</v>
      </c>
      <c r="M411" s="31">
        <f t="shared" si="62"/>
        <v>2249.75</v>
      </c>
      <c r="N411" s="33">
        <f t="shared" si="63"/>
        <v>2159.7600000000002</v>
      </c>
      <c r="O411" s="31" t="str">
        <f t="shared" si="64"/>
        <v>April</v>
      </c>
      <c r="P411" s="33">
        <f t="shared" si="65"/>
        <v>-2047.2724999999998</v>
      </c>
      <c r="Q411" s="33">
        <f t="shared" si="66"/>
        <v>1.0105263157894739</v>
      </c>
      <c r="R411" s="33">
        <f t="shared" si="67"/>
        <v>85.490499999999997</v>
      </c>
      <c r="S411" s="33" t="str">
        <f t="shared" si="68"/>
        <v>Large</v>
      </c>
      <c r="T411" s="33" t="str">
        <f t="shared" si="69"/>
        <v>High</v>
      </c>
    </row>
    <row r="412" spans="1:20" x14ac:dyDescent="0.3">
      <c r="A412" s="17" t="s">
        <v>733</v>
      </c>
      <c r="B412" s="17" t="s">
        <v>734</v>
      </c>
      <c r="C412" s="17" t="s">
        <v>80</v>
      </c>
      <c r="D412" s="17" t="s">
        <v>22</v>
      </c>
      <c r="E412" s="17" t="s">
        <v>99</v>
      </c>
      <c r="F412" s="17" t="s">
        <v>30</v>
      </c>
      <c r="G412" s="17">
        <v>13</v>
      </c>
      <c r="H412" s="18">
        <v>89.99</v>
      </c>
      <c r="I412" s="18">
        <f t="shared" si="60"/>
        <v>1169.8699999999999</v>
      </c>
      <c r="J412" s="19">
        <v>5</v>
      </c>
      <c r="K412" s="18">
        <f t="shared" si="61"/>
        <v>1111.3764999999999</v>
      </c>
      <c r="L412" s="17" t="s">
        <v>132</v>
      </c>
      <c r="M412" s="31">
        <f t="shared" si="62"/>
        <v>1169.8699999999999</v>
      </c>
      <c r="N412" s="33">
        <f t="shared" si="63"/>
        <v>1079.8799999999999</v>
      </c>
      <c r="O412" s="31" t="str">
        <f t="shared" si="64"/>
        <v>April</v>
      </c>
      <c r="P412" s="33">
        <f t="shared" si="65"/>
        <v>-1021.3864999999998</v>
      </c>
      <c r="Q412" s="33">
        <f t="shared" si="66"/>
        <v>0.97165991902834015</v>
      </c>
      <c r="R412" s="33">
        <f t="shared" si="67"/>
        <v>85.490499999999983</v>
      </c>
      <c r="S412" s="33" t="str">
        <f t="shared" si="68"/>
        <v>Large</v>
      </c>
      <c r="T412" s="33" t="str">
        <f t="shared" si="69"/>
        <v>High</v>
      </c>
    </row>
    <row r="413" spans="1:20" x14ac:dyDescent="0.3">
      <c r="A413" s="5" t="s">
        <v>735</v>
      </c>
      <c r="B413" s="5" t="s">
        <v>734</v>
      </c>
      <c r="C413" s="5" t="s">
        <v>55</v>
      </c>
      <c r="D413" s="5" t="s">
        <v>38</v>
      </c>
      <c r="E413" s="5" t="s">
        <v>93</v>
      </c>
      <c r="F413" s="5" t="s">
        <v>24</v>
      </c>
      <c r="G413" s="5">
        <v>20</v>
      </c>
      <c r="H413" s="6">
        <v>599</v>
      </c>
      <c r="I413" s="6">
        <f t="shared" si="60"/>
        <v>11980</v>
      </c>
      <c r="J413" s="7">
        <v>0</v>
      </c>
      <c r="K413" s="6">
        <f t="shared" si="61"/>
        <v>11980</v>
      </c>
      <c r="L413" s="5" t="s">
        <v>18</v>
      </c>
      <c r="M413" s="31">
        <f t="shared" si="62"/>
        <v>11980</v>
      </c>
      <c r="N413" s="33">
        <f t="shared" si="63"/>
        <v>11381</v>
      </c>
      <c r="O413" s="31" t="str">
        <f t="shared" si="64"/>
        <v>April</v>
      </c>
      <c r="P413" s="33">
        <f t="shared" si="65"/>
        <v>-11381</v>
      </c>
      <c r="Q413" s="33">
        <f t="shared" si="66"/>
        <v>0.95</v>
      </c>
      <c r="R413" s="33">
        <f t="shared" si="67"/>
        <v>599</v>
      </c>
      <c r="S413" s="33" t="str">
        <f t="shared" si="68"/>
        <v>Large</v>
      </c>
      <c r="T413" s="33" t="str">
        <f t="shared" si="69"/>
        <v>High</v>
      </c>
    </row>
    <row r="414" spans="1:20" x14ac:dyDescent="0.3">
      <c r="A414" s="2" t="s">
        <v>736</v>
      </c>
      <c r="B414" s="2" t="s">
        <v>737</v>
      </c>
      <c r="C414" s="2" t="s">
        <v>32</v>
      </c>
      <c r="D414" s="2" t="s">
        <v>33</v>
      </c>
      <c r="E414" s="2" t="s">
        <v>87</v>
      </c>
      <c r="F414" s="2" t="s">
        <v>61</v>
      </c>
      <c r="G414" s="2">
        <v>16</v>
      </c>
      <c r="H414" s="3">
        <v>299</v>
      </c>
      <c r="I414" s="3">
        <f t="shared" si="60"/>
        <v>4784</v>
      </c>
      <c r="J414" s="4">
        <v>12</v>
      </c>
      <c r="K414" s="3">
        <f t="shared" si="61"/>
        <v>4209.92</v>
      </c>
      <c r="L414" s="2" t="s">
        <v>18</v>
      </c>
      <c r="M414" s="31">
        <f t="shared" si="62"/>
        <v>4784</v>
      </c>
      <c r="N414" s="33">
        <f t="shared" si="63"/>
        <v>4485</v>
      </c>
      <c r="O414" s="31" t="str">
        <f t="shared" si="64"/>
        <v>April</v>
      </c>
      <c r="P414" s="33">
        <f t="shared" si="65"/>
        <v>-3910.92</v>
      </c>
      <c r="Q414" s="33">
        <f t="shared" si="66"/>
        <v>1.0653409090909092</v>
      </c>
      <c r="R414" s="33">
        <f t="shared" si="67"/>
        <v>263.12</v>
      </c>
      <c r="S414" s="33" t="str">
        <f t="shared" si="68"/>
        <v>Large</v>
      </c>
      <c r="T414" s="33" t="str">
        <f t="shared" si="69"/>
        <v>High</v>
      </c>
    </row>
    <row r="415" spans="1:20" x14ac:dyDescent="0.3">
      <c r="A415" s="5" t="s">
        <v>738</v>
      </c>
      <c r="B415" s="5" t="s">
        <v>739</v>
      </c>
      <c r="C415" s="5" t="s">
        <v>14</v>
      </c>
      <c r="D415" s="5" t="s">
        <v>15</v>
      </c>
      <c r="E415" s="5" t="s">
        <v>60</v>
      </c>
      <c r="F415" s="5" t="s">
        <v>61</v>
      </c>
      <c r="G415" s="5">
        <v>23</v>
      </c>
      <c r="H415" s="6">
        <v>49.99</v>
      </c>
      <c r="I415" s="6">
        <f t="shared" si="60"/>
        <v>1149.77</v>
      </c>
      <c r="J415" s="7">
        <v>12</v>
      </c>
      <c r="K415" s="6">
        <f t="shared" si="61"/>
        <v>1011.7976</v>
      </c>
      <c r="L415" s="5" t="s">
        <v>18</v>
      </c>
      <c r="M415" s="31">
        <f t="shared" si="62"/>
        <v>1149.77</v>
      </c>
      <c r="N415" s="33">
        <f t="shared" si="63"/>
        <v>1099.78</v>
      </c>
      <c r="O415" s="31" t="str">
        <f t="shared" si="64"/>
        <v>April</v>
      </c>
      <c r="P415" s="33">
        <f t="shared" si="65"/>
        <v>-961.80759999999998</v>
      </c>
      <c r="Q415" s="33">
        <f t="shared" si="66"/>
        <v>1.0869565217391304</v>
      </c>
      <c r="R415" s="33">
        <f t="shared" si="67"/>
        <v>43.991199999999999</v>
      </c>
      <c r="S415" s="33" t="str">
        <f t="shared" si="68"/>
        <v>Large</v>
      </c>
      <c r="T415" s="33" t="str">
        <f t="shared" si="69"/>
        <v>High</v>
      </c>
    </row>
    <row r="416" spans="1:20" x14ac:dyDescent="0.3">
      <c r="A416" s="2" t="s">
        <v>740</v>
      </c>
      <c r="B416" s="2" t="s">
        <v>741</v>
      </c>
      <c r="C416" s="2" t="s">
        <v>41</v>
      </c>
      <c r="D416" s="2" t="s">
        <v>15</v>
      </c>
      <c r="E416" s="2" t="s">
        <v>90</v>
      </c>
      <c r="F416" s="2" t="s">
        <v>24</v>
      </c>
      <c r="G416" s="2">
        <v>24</v>
      </c>
      <c r="H416" s="3">
        <v>149.99</v>
      </c>
      <c r="I416" s="3">
        <f t="shared" si="60"/>
        <v>3599.76</v>
      </c>
      <c r="J416" s="4">
        <v>12</v>
      </c>
      <c r="K416" s="3">
        <f t="shared" si="61"/>
        <v>3167.7888000000003</v>
      </c>
      <c r="L416" s="2" t="s">
        <v>18</v>
      </c>
      <c r="M416" s="31">
        <f t="shared" si="62"/>
        <v>3599.76</v>
      </c>
      <c r="N416" s="33">
        <f t="shared" si="63"/>
        <v>3449.7700000000004</v>
      </c>
      <c r="O416" s="31" t="str">
        <f t="shared" si="64"/>
        <v>April</v>
      </c>
      <c r="P416" s="33">
        <f t="shared" si="65"/>
        <v>-3017.7988000000005</v>
      </c>
      <c r="Q416" s="33">
        <f t="shared" si="66"/>
        <v>1.0890151515151516</v>
      </c>
      <c r="R416" s="33">
        <f t="shared" si="67"/>
        <v>131.99120000000002</v>
      </c>
      <c r="S416" s="33" t="str">
        <f t="shared" si="68"/>
        <v>Large</v>
      </c>
      <c r="T416" s="33" t="str">
        <f t="shared" si="69"/>
        <v>High</v>
      </c>
    </row>
    <row r="417" spans="1:20" x14ac:dyDescent="0.3">
      <c r="A417" s="5" t="s">
        <v>742</v>
      </c>
      <c r="B417" s="5" t="s">
        <v>741</v>
      </c>
      <c r="C417" s="5" t="s">
        <v>41</v>
      </c>
      <c r="D417" s="5" t="s">
        <v>15</v>
      </c>
      <c r="E417" s="5" t="s">
        <v>106</v>
      </c>
      <c r="F417" s="5" t="s">
        <v>17</v>
      </c>
      <c r="G417" s="5">
        <v>18</v>
      </c>
      <c r="H417" s="6">
        <v>199</v>
      </c>
      <c r="I417" s="6">
        <f t="shared" si="60"/>
        <v>3582</v>
      </c>
      <c r="J417" s="7">
        <v>0</v>
      </c>
      <c r="K417" s="6">
        <f t="shared" si="61"/>
        <v>3582</v>
      </c>
      <c r="L417" s="5" t="s">
        <v>18</v>
      </c>
      <c r="M417" s="31">
        <f t="shared" si="62"/>
        <v>3582</v>
      </c>
      <c r="N417" s="33">
        <f t="shared" si="63"/>
        <v>3383</v>
      </c>
      <c r="O417" s="31" t="str">
        <f t="shared" si="64"/>
        <v>April</v>
      </c>
      <c r="P417" s="33">
        <f t="shared" si="65"/>
        <v>-3383</v>
      </c>
      <c r="Q417" s="33">
        <f t="shared" si="66"/>
        <v>0.94444444444444442</v>
      </c>
      <c r="R417" s="33">
        <f t="shared" si="67"/>
        <v>199</v>
      </c>
      <c r="S417" s="33" t="str">
        <f t="shared" si="68"/>
        <v>Large</v>
      </c>
      <c r="T417" s="33" t="str">
        <f t="shared" si="69"/>
        <v>High</v>
      </c>
    </row>
    <row r="418" spans="1:20" x14ac:dyDescent="0.3">
      <c r="A418" s="2" t="s">
        <v>743</v>
      </c>
      <c r="B418" s="2" t="s">
        <v>741</v>
      </c>
      <c r="C418" s="2" t="s">
        <v>49</v>
      </c>
      <c r="D418" s="2" t="s">
        <v>38</v>
      </c>
      <c r="E418" s="2" t="s">
        <v>23</v>
      </c>
      <c r="F418" s="2" t="s">
        <v>24</v>
      </c>
      <c r="G418" s="2">
        <v>20</v>
      </c>
      <c r="H418" s="3">
        <v>999</v>
      </c>
      <c r="I418" s="3">
        <f t="shared" si="60"/>
        <v>19980</v>
      </c>
      <c r="J418" s="4">
        <v>0</v>
      </c>
      <c r="K418" s="3">
        <f t="shared" si="61"/>
        <v>19980</v>
      </c>
      <c r="L418" s="2" t="s">
        <v>18</v>
      </c>
      <c r="M418" s="31">
        <f t="shared" si="62"/>
        <v>19980</v>
      </c>
      <c r="N418" s="33">
        <f t="shared" si="63"/>
        <v>18981</v>
      </c>
      <c r="O418" s="31" t="str">
        <f t="shared" si="64"/>
        <v>April</v>
      </c>
      <c r="P418" s="33">
        <f t="shared" si="65"/>
        <v>-18981</v>
      </c>
      <c r="Q418" s="33">
        <f t="shared" si="66"/>
        <v>0.95</v>
      </c>
      <c r="R418" s="33">
        <f t="shared" si="67"/>
        <v>999</v>
      </c>
      <c r="S418" s="33" t="str">
        <f t="shared" si="68"/>
        <v>Large</v>
      </c>
      <c r="T418" s="33" t="str">
        <f t="shared" si="69"/>
        <v>High</v>
      </c>
    </row>
    <row r="419" spans="1:20" x14ac:dyDescent="0.3">
      <c r="A419" s="5" t="s">
        <v>744</v>
      </c>
      <c r="B419" s="5" t="s">
        <v>741</v>
      </c>
      <c r="C419" s="5" t="s">
        <v>32</v>
      </c>
      <c r="D419" s="5" t="s">
        <v>33</v>
      </c>
      <c r="E419" s="5" t="s">
        <v>39</v>
      </c>
      <c r="F419" s="5" t="s">
        <v>17</v>
      </c>
      <c r="G419" s="5">
        <v>4</v>
      </c>
      <c r="H419" s="6">
        <v>299</v>
      </c>
      <c r="I419" s="6">
        <f t="shared" si="60"/>
        <v>1196</v>
      </c>
      <c r="J419" s="7">
        <v>5</v>
      </c>
      <c r="K419" s="6">
        <f t="shared" si="61"/>
        <v>1136.2</v>
      </c>
      <c r="L419" s="5" t="s">
        <v>18</v>
      </c>
      <c r="M419" s="31">
        <f t="shared" si="62"/>
        <v>1196</v>
      </c>
      <c r="N419" s="33">
        <f t="shared" si="63"/>
        <v>897</v>
      </c>
      <c r="O419" s="31" t="str">
        <f t="shared" si="64"/>
        <v>April</v>
      </c>
      <c r="P419" s="33">
        <f t="shared" si="65"/>
        <v>-837.2</v>
      </c>
      <c r="Q419" s="33">
        <f t="shared" si="66"/>
        <v>0.78947368421052633</v>
      </c>
      <c r="R419" s="33">
        <f t="shared" si="67"/>
        <v>284.05</v>
      </c>
      <c r="S419" s="33" t="str">
        <f t="shared" si="68"/>
        <v>Small</v>
      </c>
      <c r="T419" s="33" t="str">
        <f t="shared" si="69"/>
        <v>High</v>
      </c>
    </row>
    <row r="420" spans="1:20" x14ac:dyDescent="0.3">
      <c r="A420" s="17" t="s">
        <v>745</v>
      </c>
      <c r="B420" s="17" t="s">
        <v>746</v>
      </c>
      <c r="C420" s="17" t="s">
        <v>37</v>
      </c>
      <c r="D420" s="17" t="s">
        <v>38</v>
      </c>
      <c r="E420" s="17" t="s">
        <v>43</v>
      </c>
      <c r="F420" s="17" t="s">
        <v>24</v>
      </c>
      <c r="G420" s="17">
        <v>13</v>
      </c>
      <c r="H420" s="18">
        <v>399</v>
      </c>
      <c r="I420" s="18">
        <f t="shared" si="60"/>
        <v>5187</v>
      </c>
      <c r="J420" s="19">
        <v>15</v>
      </c>
      <c r="K420" s="18">
        <f t="shared" si="61"/>
        <v>4408.95</v>
      </c>
      <c r="L420" s="17" t="s">
        <v>132</v>
      </c>
      <c r="M420" s="31">
        <f t="shared" si="62"/>
        <v>5187</v>
      </c>
      <c r="N420" s="33">
        <f t="shared" si="63"/>
        <v>4788</v>
      </c>
      <c r="O420" s="31" t="str">
        <f t="shared" si="64"/>
        <v>April</v>
      </c>
      <c r="P420" s="33">
        <f t="shared" si="65"/>
        <v>-4009.95</v>
      </c>
      <c r="Q420" s="33">
        <f t="shared" si="66"/>
        <v>1.0859728506787332</v>
      </c>
      <c r="R420" s="33">
        <f t="shared" si="67"/>
        <v>339.15</v>
      </c>
      <c r="S420" s="33" t="str">
        <f t="shared" si="68"/>
        <v>Large</v>
      </c>
      <c r="T420" s="33" t="str">
        <f t="shared" si="69"/>
        <v>High</v>
      </c>
    </row>
    <row r="421" spans="1:20" x14ac:dyDescent="0.3">
      <c r="A421" s="5" t="s">
        <v>747</v>
      </c>
      <c r="B421" s="5" t="s">
        <v>748</v>
      </c>
      <c r="C421" s="5" t="s">
        <v>52</v>
      </c>
      <c r="D421" s="5" t="s">
        <v>33</v>
      </c>
      <c r="E421" s="5" t="s">
        <v>39</v>
      </c>
      <c r="F421" s="5" t="s">
        <v>17</v>
      </c>
      <c r="G421" s="5">
        <v>29</v>
      </c>
      <c r="H421" s="6">
        <v>299</v>
      </c>
      <c r="I421" s="6">
        <f t="shared" si="60"/>
        <v>8671</v>
      </c>
      <c r="J421" s="7">
        <v>15</v>
      </c>
      <c r="K421" s="6">
        <f t="shared" si="61"/>
        <v>7370.3499999999995</v>
      </c>
      <c r="L421" s="5" t="s">
        <v>18</v>
      </c>
      <c r="M421" s="31">
        <f t="shared" si="62"/>
        <v>8671</v>
      </c>
      <c r="N421" s="33">
        <f t="shared" si="63"/>
        <v>8372</v>
      </c>
      <c r="O421" s="31" t="str">
        <f t="shared" si="64"/>
        <v>April</v>
      </c>
      <c r="P421" s="33">
        <f t="shared" si="65"/>
        <v>-7071.3499999999995</v>
      </c>
      <c r="Q421" s="33">
        <f t="shared" si="66"/>
        <v>1.1359026369168357</v>
      </c>
      <c r="R421" s="33">
        <f t="shared" si="67"/>
        <v>254.14999999999998</v>
      </c>
      <c r="S421" s="33" t="str">
        <f t="shared" si="68"/>
        <v>Large</v>
      </c>
      <c r="T421" s="33" t="str">
        <f t="shared" si="69"/>
        <v>High</v>
      </c>
    </row>
    <row r="422" spans="1:20" x14ac:dyDescent="0.3">
      <c r="A422" s="2" t="s">
        <v>749</v>
      </c>
      <c r="B422" s="2" t="s">
        <v>748</v>
      </c>
      <c r="C422" s="2" t="s">
        <v>52</v>
      </c>
      <c r="D422" s="2" t="s">
        <v>33</v>
      </c>
      <c r="E422" s="2" t="s">
        <v>188</v>
      </c>
      <c r="F422" s="2" t="s">
        <v>17</v>
      </c>
      <c r="G422" s="2">
        <v>19</v>
      </c>
      <c r="H422" s="3">
        <v>39.99</v>
      </c>
      <c r="I422" s="3">
        <f t="shared" si="60"/>
        <v>759.81000000000006</v>
      </c>
      <c r="J422" s="4">
        <v>0</v>
      </c>
      <c r="K422" s="3">
        <f t="shared" si="61"/>
        <v>759.81000000000006</v>
      </c>
      <c r="L422" s="2" t="s">
        <v>18</v>
      </c>
      <c r="M422" s="31">
        <f t="shared" si="62"/>
        <v>759.81000000000006</v>
      </c>
      <c r="N422" s="33">
        <f t="shared" si="63"/>
        <v>719.82</v>
      </c>
      <c r="O422" s="31" t="str">
        <f t="shared" si="64"/>
        <v>April</v>
      </c>
      <c r="P422" s="33">
        <f t="shared" si="65"/>
        <v>-719.82</v>
      </c>
      <c r="Q422" s="33">
        <f t="shared" si="66"/>
        <v>0.94736842105263153</v>
      </c>
      <c r="R422" s="33">
        <f t="shared" si="67"/>
        <v>39.99</v>
      </c>
      <c r="S422" s="33" t="str">
        <f t="shared" si="68"/>
        <v>Large</v>
      </c>
      <c r="T422" s="33" t="str">
        <f t="shared" si="69"/>
        <v>High</v>
      </c>
    </row>
    <row r="423" spans="1:20" x14ac:dyDescent="0.3">
      <c r="A423" s="8" t="s">
        <v>750</v>
      </c>
      <c r="B423" s="8" t="s">
        <v>751</v>
      </c>
      <c r="C423" s="8" t="s">
        <v>32</v>
      </c>
      <c r="D423" s="8" t="s">
        <v>33</v>
      </c>
      <c r="E423" s="8" t="s">
        <v>93</v>
      </c>
      <c r="F423" s="8" t="s">
        <v>24</v>
      </c>
      <c r="G423" s="8">
        <v>13</v>
      </c>
      <c r="H423" s="9">
        <v>599</v>
      </c>
      <c r="I423" s="9">
        <f t="shared" si="60"/>
        <v>7787</v>
      </c>
      <c r="J423" s="10">
        <v>5</v>
      </c>
      <c r="K423" s="9">
        <f t="shared" si="61"/>
        <v>7397.65</v>
      </c>
      <c r="L423" s="8" t="s">
        <v>72</v>
      </c>
      <c r="M423" s="31">
        <f t="shared" si="62"/>
        <v>7787</v>
      </c>
      <c r="N423" s="33">
        <f t="shared" si="63"/>
        <v>7188</v>
      </c>
      <c r="O423" s="31" t="str">
        <f t="shared" si="64"/>
        <v>April</v>
      </c>
      <c r="P423" s="33">
        <f t="shared" si="65"/>
        <v>-6798.65</v>
      </c>
      <c r="Q423" s="33">
        <f t="shared" si="66"/>
        <v>0.97165991902834015</v>
      </c>
      <c r="R423" s="33">
        <f t="shared" si="67"/>
        <v>569.04999999999995</v>
      </c>
      <c r="S423" s="33" t="str">
        <f t="shared" si="68"/>
        <v>Large</v>
      </c>
      <c r="T423" s="33" t="str">
        <f t="shared" si="69"/>
        <v>Low</v>
      </c>
    </row>
    <row r="424" spans="1:20" x14ac:dyDescent="0.3">
      <c r="A424" s="2" t="s">
        <v>752</v>
      </c>
      <c r="B424" s="2" t="s">
        <v>751</v>
      </c>
      <c r="C424" s="2" t="s">
        <v>32</v>
      </c>
      <c r="D424" s="2" t="s">
        <v>33</v>
      </c>
      <c r="E424" s="2" t="s">
        <v>74</v>
      </c>
      <c r="F424" s="2" t="s">
        <v>30</v>
      </c>
      <c r="G424" s="2">
        <v>23</v>
      </c>
      <c r="H424" s="3">
        <v>49.99</v>
      </c>
      <c r="I424" s="3">
        <f t="shared" si="60"/>
        <v>1149.77</v>
      </c>
      <c r="J424" s="4">
        <v>5</v>
      </c>
      <c r="K424" s="3">
        <f t="shared" si="61"/>
        <v>1092.2814999999998</v>
      </c>
      <c r="L424" s="2" t="s">
        <v>18</v>
      </c>
      <c r="M424" s="31">
        <f t="shared" si="62"/>
        <v>1149.77</v>
      </c>
      <c r="N424" s="33">
        <f t="shared" si="63"/>
        <v>1099.78</v>
      </c>
      <c r="O424" s="31" t="str">
        <f t="shared" si="64"/>
        <v>April</v>
      </c>
      <c r="P424" s="33">
        <f t="shared" si="65"/>
        <v>-1042.2914999999998</v>
      </c>
      <c r="Q424" s="33">
        <f t="shared" si="66"/>
        <v>1.0068649885583525</v>
      </c>
      <c r="R424" s="33">
        <f t="shared" si="67"/>
        <v>47.49049999999999</v>
      </c>
      <c r="S424" s="33" t="str">
        <f t="shared" si="68"/>
        <v>Large</v>
      </c>
      <c r="T424" s="33" t="str">
        <f t="shared" si="69"/>
        <v>High</v>
      </c>
    </row>
    <row r="425" spans="1:20" x14ac:dyDescent="0.3">
      <c r="A425" s="5" t="s">
        <v>753</v>
      </c>
      <c r="B425" s="5" t="s">
        <v>751</v>
      </c>
      <c r="C425" s="5" t="s">
        <v>41</v>
      </c>
      <c r="D425" s="5" t="s">
        <v>15</v>
      </c>
      <c r="E425" s="5" t="s">
        <v>29</v>
      </c>
      <c r="F425" s="5" t="s">
        <v>30</v>
      </c>
      <c r="G425" s="5">
        <v>14</v>
      </c>
      <c r="H425" s="6">
        <v>29.99</v>
      </c>
      <c r="I425" s="6">
        <f t="shared" si="60"/>
        <v>419.85999999999996</v>
      </c>
      <c r="J425" s="7">
        <v>8</v>
      </c>
      <c r="K425" s="6">
        <f t="shared" si="61"/>
        <v>386.27119999999996</v>
      </c>
      <c r="L425" s="5" t="s">
        <v>18</v>
      </c>
      <c r="M425" s="31">
        <f t="shared" si="62"/>
        <v>419.85999999999996</v>
      </c>
      <c r="N425" s="33">
        <f t="shared" si="63"/>
        <v>389.86999999999995</v>
      </c>
      <c r="O425" s="31" t="str">
        <f t="shared" si="64"/>
        <v>April</v>
      </c>
      <c r="P425" s="33">
        <f t="shared" si="65"/>
        <v>-356.28119999999996</v>
      </c>
      <c r="Q425" s="33">
        <f t="shared" si="66"/>
        <v>1.0093167701863353</v>
      </c>
      <c r="R425" s="33">
        <f t="shared" si="67"/>
        <v>27.590799999999998</v>
      </c>
      <c r="S425" s="33" t="str">
        <f t="shared" si="68"/>
        <v>Large</v>
      </c>
      <c r="T425" s="33" t="str">
        <f t="shared" si="69"/>
        <v>High</v>
      </c>
    </row>
    <row r="426" spans="1:20" x14ac:dyDescent="0.3">
      <c r="A426" s="2" t="s">
        <v>754</v>
      </c>
      <c r="B426" s="2" t="s">
        <v>751</v>
      </c>
      <c r="C426" s="2" t="s">
        <v>28</v>
      </c>
      <c r="D426" s="2" t="s">
        <v>22</v>
      </c>
      <c r="E426" s="2" t="s">
        <v>71</v>
      </c>
      <c r="F426" s="2" t="s">
        <v>24</v>
      </c>
      <c r="G426" s="2">
        <v>13</v>
      </c>
      <c r="H426" s="3">
        <v>249</v>
      </c>
      <c r="I426" s="3">
        <f t="shared" si="60"/>
        <v>3237</v>
      </c>
      <c r="J426" s="4">
        <v>10</v>
      </c>
      <c r="K426" s="3">
        <f t="shared" si="61"/>
        <v>2913.3</v>
      </c>
      <c r="L426" s="2" t="s">
        <v>18</v>
      </c>
      <c r="M426" s="31">
        <f t="shared" si="62"/>
        <v>3237</v>
      </c>
      <c r="N426" s="33">
        <f t="shared" si="63"/>
        <v>2988</v>
      </c>
      <c r="O426" s="31" t="str">
        <f t="shared" si="64"/>
        <v>April</v>
      </c>
      <c r="P426" s="33">
        <f t="shared" si="65"/>
        <v>-2664.3</v>
      </c>
      <c r="Q426" s="33">
        <f t="shared" si="66"/>
        <v>1.0256410256410255</v>
      </c>
      <c r="R426" s="33">
        <f t="shared" si="67"/>
        <v>224.10000000000002</v>
      </c>
      <c r="S426" s="33" t="str">
        <f t="shared" si="68"/>
        <v>Large</v>
      </c>
      <c r="T426" s="33" t="str">
        <f t="shared" si="69"/>
        <v>Low</v>
      </c>
    </row>
    <row r="427" spans="1:20" x14ac:dyDescent="0.3">
      <c r="A427" s="5" t="s">
        <v>755</v>
      </c>
      <c r="B427" s="5" t="s">
        <v>751</v>
      </c>
      <c r="C427" s="5" t="s">
        <v>28</v>
      </c>
      <c r="D427" s="5" t="s">
        <v>22</v>
      </c>
      <c r="E427" s="5" t="s">
        <v>39</v>
      </c>
      <c r="F427" s="5" t="s">
        <v>17</v>
      </c>
      <c r="G427" s="5">
        <v>26</v>
      </c>
      <c r="H427" s="6">
        <v>299</v>
      </c>
      <c r="I427" s="6">
        <f t="shared" si="60"/>
        <v>7774</v>
      </c>
      <c r="J427" s="7">
        <v>0</v>
      </c>
      <c r="K427" s="6">
        <f t="shared" si="61"/>
        <v>7774</v>
      </c>
      <c r="L427" s="5" t="s">
        <v>18</v>
      </c>
      <c r="M427" s="31">
        <f t="shared" si="62"/>
        <v>7774</v>
      </c>
      <c r="N427" s="33">
        <f t="shared" si="63"/>
        <v>7475</v>
      </c>
      <c r="O427" s="31" t="str">
        <f t="shared" si="64"/>
        <v>April</v>
      </c>
      <c r="P427" s="33">
        <f t="shared" si="65"/>
        <v>-7475</v>
      </c>
      <c r="Q427" s="33">
        <f t="shared" si="66"/>
        <v>0.96153846153846156</v>
      </c>
      <c r="R427" s="33">
        <f t="shared" si="67"/>
        <v>299</v>
      </c>
      <c r="S427" s="33" t="str">
        <f t="shared" si="68"/>
        <v>Large</v>
      </c>
      <c r="T427" s="33" t="str">
        <f t="shared" si="69"/>
        <v>High</v>
      </c>
    </row>
    <row r="428" spans="1:20" x14ac:dyDescent="0.3">
      <c r="A428" s="2" t="s">
        <v>756</v>
      </c>
      <c r="B428" s="2" t="s">
        <v>757</v>
      </c>
      <c r="C428" s="2" t="s">
        <v>37</v>
      </c>
      <c r="D428" s="2" t="s">
        <v>38</v>
      </c>
      <c r="E428" s="2" t="s">
        <v>34</v>
      </c>
      <c r="F428" s="2" t="s">
        <v>30</v>
      </c>
      <c r="G428" s="2">
        <v>11</v>
      </c>
      <c r="H428" s="3">
        <v>19.989999999999998</v>
      </c>
      <c r="I428" s="3">
        <f t="shared" si="60"/>
        <v>219.89</v>
      </c>
      <c r="J428" s="4">
        <v>5</v>
      </c>
      <c r="K428" s="3">
        <f t="shared" si="61"/>
        <v>208.89549999999997</v>
      </c>
      <c r="L428" s="2" t="s">
        <v>18</v>
      </c>
      <c r="M428" s="31">
        <f t="shared" si="62"/>
        <v>219.89</v>
      </c>
      <c r="N428" s="33">
        <f t="shared" si="63"/>
        <v>199.89999999999998</v>
      </c>
      <c r="O428" s="31" t="str">
        <f t="shared" si="64"/>
        <v>April</v>
      </c>
      <c r="P428" s="33">
        <f t="shared" si="65"/>
        <v>-188.90549999999996</v>
      </c>
      <c r="Q428" s="33">
        <f t="shared" si="66"/>
        <v>0.9569377990430622</v>
      </c>
      <c r="R428" s="33">
        <f t="shared" si="67"/>
        <v>18.990499999999997</v>
      </c>
      <c r="S428" s="33" t="str">
        <f t="shared" si="68"/>
        <v>Large</v>
      </c>
      <c r="T428" s="33" t="str">
        <f t="shared" si="69"/>
        <v>High</v>
      </c>
    </row>
    <row r="429" spans="1:20" x14ac:dyDescent="0.3">
      <c r="A429" s="5" t="s">
        <v>758</v>
      </c>
      <c r="B429" s="5" t="s">
        <v>757</v>
      </c>
      <c r="C429" s="5" t="s">
        <v>21</v>
      </c>
      <c r="D429" s="5" t="s">
        <v>22</v>
      </c>
      <c r="E429" s="5" t="s">
        <v>60</v>
      </c>
      <c r="F429" s="5" t="s">
        <v>61</v>
      </c>
      <c r="G429" s="5">
        <v>18</v>
      </c>
      <c r="H429" s="6">
        <v>49.99</v>
      </c>
      <c r="I429" s="6">
        <f t="shared" si="60"/>
        <v>899.82</v>
      </c>
      <c r="J429" s="7">
        <v>0</v>
      </c>
      <c r="K429" s="6">
        <f t="shared" si="61"/>
        <v>899.82</v>
      </c>
      <c r="L429" s="5" t="s">
        <v>18</v>
      </c>
      <c r="M429" s="31">
        <f t="shared" si="62"/>
        <v>899.82</v>
      </c>
      <c r="N429" s="33">
        <f t="shared" si="63"/>
        <v>849.83</v>
      </c>
      <c r="O429" s="31" t="str">
        <f t="shared" si="64"/>
        <v>April</v>
      </c>
      <c r="P429" s="33">
        <f t="shared" si="65"/>
        <v>-849.83</v>
      </c>
      <c r="Q429" s="33">
        <f t="shared" si="66"/>
        <v>0.94444444444444442</v>
      </c>
      <c r="R429" s="33">
        <f t="shared" si="67"/>
        <v>49.99</v>
      </c>
      <c r="S429" s="33" t="str">
        <f t="shared" si="68"/>
        <v>Large</v>
      </c>
      <c r="T429" s="33" t="str">
        <f t="shared" si="69"/>
        <v>Low</v>
      </c>
    </row>
    <row r="430" spans="1:20" x14ac:dyDescent="0.3">
      <c r="A430" s="2" t="s">
        <v>759</v>
      </c>
      <c r="B430" s="2" t="s">
        <v>760</v>
      </c>
      <c r="C430" s="2" t="s">
        <v>28</v>
      </c>
      <c r="D430" s="2" t="s">
        <v>22</v>
      </c>
      <c r="E430" s="2" t="s">
        <v>29</v>
      </c>
      <c r="F430" s="2" t="s">
        <v>30</v>
      </c>
      <c r="G430" s="2">
        <v>30</v>
      </c>
      <c r="H430" s="3">
        <v>29.99</v>
      </c>
      <c r="I430" s="3">
        <f t="shared" si="60"/>
        <v>899.69999999999993</v>
      </c>
      <c r="J430" s="4">
        <v>0</v>
      </c>
      <c r="K430" s="3">
        <f t="shared" si="61"/>
        <v>899.69999999999993</v>
      </c>
      <c r="L430" s="2" t="s">
        <v>18</v>
      </c>
      <c r="M430" s="31">
        <f t="shared" si="62"/>
        <v>899.69999999999993</v>
      </c>
      <c r="N430" s="33">
        <f t="shared" si="63"/>
        <v>869.70999999999992</v>
      </c>
      <c r="O430" s="31" t="str">
        <f t="shared" si="64"/>
        <v>April</v>
      </c>
      <c r="P430" s="33">
        <f t="shared" si="65"/>
        <v>-869.70999999999992</v>
      </c>
      <c r="Q430" s="33">
        <f t="shared" si="66"/>
        <v>0.96666666666666667</v>
      </c>
      <c r="R430" s="33">
        <f t="shared" si="67"/>
        <v>29.99</v>
      </c>
      <c r="S430" s="33" t="str">
        <f t="shared" si="68"/>
        <v>Large</v>
      </c>
      <c r="T430" s="33" t="str">
        <f t="shared" si="69"/>
        <v>Low</v>
      </c>
    </row>
    <row r="431" spans="1:20" x14ac:dyDescent="0.3">
      <c r="A431" s="5" t="s">
        <v>761</v>
      </c>
      <c r="B431" s="5" t="s">
        <v>760</v>
      </c>
      <c r="C431" s="5" t="s">
        <v>37</v>
      </c>
      <c r="D431" s="5" t="s">
        <v>38</v>
      </c>
      <c r="E431" s="5" t="s">
        <v>82</v>
      </c>
      <c r="F431" s="5" t="s">
        <v>61</v>
      </c>
      <c r="G431" s="5">
        <v>14</v>
      </c>
      <c r="H431" s="6">
        <v>59.99</v>
      </c>
      <c r="I431" s="6">
        <f t="shared" si="60"/>
        <v>839.86</v>
      </c>
      <c r="J431" s="7">
        <v>5</v>
      </c>
      <c r="K431" s="6">
        <f t="shared" si="61"/>
        <v>797.86699999999996</v>
      </c>
      <c r="L431" s="5" t="s">
        <v>18</v>
      </c>
      <c r="M431" s="31">
        <f t="shared" si="62"/>
        <v>839.86</v>
      </c>
      <c r="N431" s="33">
        <f t="shared" si="63"/>
        <v>779.87</v>
      </c>
      <c r="O431" s="31" t="str">
        <f t="shared" si="64"/>
        <v>April</v>
      </c>
      <c r="P431" s="33">
        <f t="shared" si="65"/>
        <v>-737.87699999999995</v>
      </c>
      <c r="Q431" s="33">
        <f t="shared" si="66"/>
        <v>0.97744360902255645</v>
      </c>
      <c r="R431" s="33">
        <f t="shared" si="67"/>
        <v>56.990499999999997</v>
      </c>
      <c r="S431" s="33" t="str">
        <f t="shared" si="68"/>
        <v>Large</v>
      </c>
      <c r="T431" s="33" t="str">
        <f t="shared" si="69"/>
        <v>Low</v>
      </c>
    </row>
    <row r="432" spans="1:20" x14ac:dyDescent="0.3">
      <c r="A432" s="11" t="s">
        <v>762</v>
      </c>
      <c r="B432" s="11" t="s">
        <v>763</v>
      </c>
      <c r="C432" s="11" t="s">
        <v>21</v>
      </c>
      <c r="D432" s="11" t="s">
        <v>22</v>
      </c>
      <c r="E432" s="11" t="s">
        <v>64</v>
      </c>
      <c r="F432" s="11" t="s">
        <v>24</v>
      </c>
      <c r="G432" s="11">
        <v>11</v>
      </c>
      <c r="H432" s="12">
        <v>1299</v>
      </c>
      <c r="I432" s="12">
        <f t="shared" si="60"/>
        <v>14289</v>
      </c>
      <c r="J432" s="13">
        <v>0</v>
      </c>
      <c r="K432" s="12">
        <f t="shared" si="61"/>
        <v>14289</v>
      </c>
      <c r="L432" s="11" t="s">
        <v>72</v>
      </c>
      <c r="M432" s="31">
        <f t="shared" si="62"/>
        <v>14289</v>
      </c>
      <c r="N432" s="33">
        <f t="shared" si="63"/>
        <v>12990</v>
      </c>
      <c r="O432" s="31" t="str">
        <f t="shared" si="64"/>
        <v>April</v>
      </c>
      <c r="P432" s="33">
        <f t="shared" si="65"/>
        <v>-12990</v>
      </c>
      <c r="Q432" s="33">
        <f t="shared" si="66"/>
        <v>0.90909090909090906</v>
      </c>
      <c r="R432" s="33">
        <f t="shared" si="67"/>
        <v>1299</v>
      </c>
      <c r="S432" s="33" t="str">
        <f t="shared" si="68"/>
        <v>Large</v>
      </c>
      <c r="T432" s="33" t="str">
        <f t="shared" si="69"/>
        <v>Low</v>
      </c>
    </row>
    <row r="433" spans="1:20" x14ac:dyDescent="0.3">
      <c r="A433" s="5" t="s">
        <v>764</v>
      </c>
      <c r="B433" s="5" t="s">
        <v>763</v>
      </c>
      <c r="C433" s="5" t="s">
        <v>41</v>
      </c>
      <c r="D433" s="5" t="s">
        <v>15</v>
      </c>
      <c r="E433" s="5" t="s">
        <v>103</v>
      </c>
      <c r="F433" s="5" t="s">
        <v>61</v>
      </c>
      <c r="G433" s="5">
        <v>21</v>
      </c>
      <c r="H433" s="6">
        <v>99</v>
      </c>
      <c r="I433" s="6">
        <f t="shared" si="60"/>
        <v>2079</v>
      </c>
      <c r="J433" s="7">
        <v>12</v>
      </c>
      <c r="K433" s="6">
        <f t="shared" si="61"/>
        <v>1829.52</v>
      </c>
      <c r="L433" s="5" t="s">
        <v>18</v>
      </c>
      <c r="M433" s="31">
        <f t="shared" si="62"/>
        <v>2079</v>
      </c>
      <c r="N433" s="33">
        <f t="shared" si="63"/>
        <v>1980</v>
      </c>
      <c r="O433" s="31" t="str">
        <f t="shared" si="64"/>
        <v>April</v>
      </c>
      <c r="P433" s="33">
        <f t="shared" si="65"/>
        <v>-1730.52</v>
      </c>
      <c r="Q433" s="33">
        <f t="shared" si="66"/>
        <v>1.0822510822510822</v>
      </c>
      <c r="R433" s="33">
        <f t="shared" si="67"/>
        <v>87.12</v>
      </c>
      <c r="S433" s="33" t="str">
        <f t="shared" si="68"/>
        <v>Large</v>
      </c>
      <c r="T433" s="33" t="str">
        <f t="shared" si="69"/>
        <v>High</v>
      </c>
    </row>
    <row r="434" spans="1:20" x14ac:dyDescent="0.3">
      <c r="A434" s="2" t="s">
        <v>765</v>
      </c>
      <c r="B434" s="2" t="s">
        <v>766</v>
      </c>
      <c r="C434" s="2" t="s">
        <v>80</v>
      </c>
      <c r="D434" s="2" t="s">
        <v>22</v>
      </c>
      <c r="E434" s="2" t="s">
        <v>77</v>
      </c>
      <c r="F434" s="2" t="s">
        <v>61</v>
      </c>
      <c r="G434" s="2">
        <v>28</v>
      </c>
      <c r="H434" s="3">
        <v>149</v>
      </c>
      <c r="I434" s="3">
        <f t="shared" si="60"/>
        <v>4172</v>
      </c>
      <c r="J434" s="4">
        <v>15</v>
      </c>
      <c r="K434" s="3">
        <f t="shared" si="61"/>
        <v>3546.2</v>
      </c>
      <c r="L434" s="2" t="s">
        <v>18</v>
      </c>
      <c r="M434" s="31">
        <f t="shared" si="62"/>
        <v>4172</v>
      </c>
      <c r="N434" s="33">
        <f t="shared" si="63"/>
        <v>4023</v>
      </c>
      <c r="O434" s="31" t="str">
        <f t="shared" si="64"/>
        <v>April</v>
      </c>
      <c r="P434" s="33">
        <f t="shared" si="65"/>
        <v>-3397.2</v>
      </c>
      <c r="Q434" s="33">
        <f t="shared" si="66"/>
        <v>1.134453781512605</v>
      </c>
      <c r="R434" s="33">
        <f t="shared" si="67"/>
        <v>126.64999999999999</v>
      </c>
      <c r="S434" s="33" t="str">
        <f t="shared" si="68"/>
        <v>Large</v>
      </c>
      <c r="T434" s="33" t="str">
        <f t="shared" si="69"/>
        <v>High</v>
      </c>
    </row>
    <row r="435" spans="1:20" x14ac:dyDescent="0.3">
      <c r="A435" s="8" t="s">
        <v>767</v>
      </c>
      <c r="B435" s="8" t="s">
        <v>766</v>
      </c>
      <c r="C435" s="8" t="s">
        <v>28</v>
      </c>
      <c r="D435" s="8" t="s">
        <v>22</v>
      </c>
      <c r="E435" s="8" t="s">
        <v>66</v>
      </c>
      <c r="F435" s="8" t="s">
        <v>17</v>
      </c>
      <c r="G435" s="8">
        <v>15</v>
      </c>
      <c r="H435" s="9">
        <v>549</v>
      </c>
      <c r="I435" s="9">
        <f t="shared" si="60"/>
        <v>8235</v>
      </c>
      <c r="J435" s="10">
        <v>0</v>
      </c>
      <c r="K435" s="9">
        <f t="shared" si="61"/>
        <v>8235</v>
      </c>
      <c r="L435" s="8" t="s">
        <v>72</v>
      </c>
      <c r="M435" s="31">
        <f t="shared" si="62"/>
        <v>8235</v>
      </c>
      <c r="N435" s="33">
        <f t="shared" si="63"/>
        <v>7686</v>
      </c>
      <c r="O435" s="31" t="str">
        <f t="shared" si="64"/>
        <v>April</v>
      </c>
      <c r="P435" s="33">
        <f t="shared" si="65"/>
        <v>-7686</v>
      </c>
      <c r="Q435" s="33">
        <f t="shared" si="66"/>
        <v>0.93333333333333335</v>
      </c>
      <c r="R435" s="33">
        <f t="shared" si="67"/>
        <v>549</v>
      </c>
      <c r="S435" s="33" t="str">
        <f t="shared" si="68"/>
        <v>Large</v>
      </c>
      <c r="T435" s="33" t="str">
        <f t="shared" si="69"/>
        <v>High</v>
      </c>
    </row>
    <row r="436" spans="1:20" x14ac:dyDescent="0.3">
      <c r="A436" s="2" t="s">
        <v>768</v>
      </c>
      <c r="B436" s="2" t="s">
        <v>769</v>
      </c>
      <c r="C436" s="2" t="s">
        <v>32</v>
      </c>
      <c r="D436" s="2" t="s">
        <v>33</v>
      </c>
      <c r="E436" s="2" t="s">
        <v>74</v>
      </c>
      <c r="F436" s="2" t="s">
        <v>30</v>
      </c>
      <c r="G436" s="2">
        <v>28</v>
      </c>
      <c r="H436" s="3">
        <v>49.99</v>
      </c>
      <c r="I436" s="3">
        <f t="shared" si="60"/>
        <v>1399.72</v>
      </c>
      <c r="J436" s="4">
        <v>0</v>
      </c>
      <c r="K436" s="3">
        <f t="shared" si="61"/>
        <v>1399.72</v>
      </c>
      <c r="L436" s="2" t="s">
        <v>18</v>
      </c>
      <c r="M436" s="31">
        <f t="shared" si="62"/>
        <v>1399.72</v>
      </c>
      <c r="N436" s="33">
        <f t="shared" si="63"/>
        <v>1349.73</v>
      </c>
      <c r="O436" s="31" t="str">
        <f t="shared" si="64"/>
        <v>April</v>
      </c>
      <c r="P436" s="33">
        <f t="shared" si="65"/>
        <v>-1349.73</v>
      </c>
      <c r="Q436" s="33">
        <f t="shared" si="66"/>
        <v>0.9642857142857143</v>
      </c>
      <c r="R436" s="33">
        <f t="shared" si="67"/>
        <v>49.99</v>
      </c>
      <c r="S436" s="33" t="str">
        <f t="shared" si="68"/>
        <v>Large</v>
      </c>
      <c r="T436" s="33" t="str">
        <f t="shared" si="69"/>
        <v>High</v>
      </c>
    </row>
    <row r="437" spans="1:20" x14ac:dyDescent="0.3">
      <c r="A437" s="5" t="s">
        <v>770</v>
      </c>
      <c r="B437" s="5" t="s">
        <v>771</v>
      </c>
      <c r="C437" s="5" t="s">
        <v>21</v>
      </c>
      <c r="D437" s="5" t="s">
        <v>22</v>
      </c>
      <c r="E437" s="5" t="s">
        <v>29</v>
      </c>
      <c r="F437" s="5" t="s">
        <v>30</v>
      </c>
      <c r="G437" s="5">
        <v>6</v>
      </c>
      <c r="H437" s="6">
        <v>29.99</v>
      </c>
      <c r="I437" s="6">
        <f t="shared" si="60"/>
        <v>179.94</v>
      </c>
      <c r="J437" s="7">
        <v>15</v>
      </c>
      <c r="K437" s="6">
        <f t="shared" si="61"/>
        <v>152.94899999999998</v>
      </c>
      <c r="L437" s="5" t="s">
        <v>18</v>
      </c>
      <c r="M437" s="31">
        <f t="shared" si="62"/>
        <v>179.94</v>
      </c>
      <c r="N437" s="33">
        <f t="shared" si="63"/>
        <v>149.94999999999999</v>
      </c>
      <c r="O437" s="31" t="str">
        <f t="shared" si="64"/>
        <v>April</v>
      </c>
      <c r="P437" s="33">
        <f t="shared" si="65"/>
        <v>-122.95899999999999</v>
      </c>
      <c r="Q437" s="33">
        <f t="shared" si="66"/>
        <v>0.98039215686274517</v>
      </c>
      <c r="R437" s="33">
        <f t="shared" si="67"/>
        <v>25.491499999999998</v>
      </c>
      <c r="S437" s="33" t="str">
        <f t="shared" si="68"/>
        <v>Small</v>
      </c>
      <c r="T437" s="33" t="str">
        <f t="shared" si="69"/>
        <v>High</v>
      </c>
    </row>
    <row r="438" spans="1:20" x14ac:dyDescent="0.3">
      <c r="A438" s="2" t="s">
        <v>772</v>
      </c>
      <c r="B438" s="2" t="s">
        <v>773</v>
      </c>
      <c r="C438" s="2" t="s">
        <v>49</v>
      </c>
      <c r="D438" s="2" t="s">
        <v>38</v>
      </c>
      <c r="E438" s="2" t="s">
        <v>141</v>
      </c>
      <c r="F438" s="2" t="s">
        <v>17</v>
      </c>
      <c r="G438" s="2">
        <v>21</v>
      </c>
      <c r="H438" s="3">
        <v>169</v>
      </c>
      <c r="I438" s="3">
        <f t="shared" si="60"/>
        <v>3549</v>
      </c>
      <c r="J438" s="4">
        <v>8</v>
      </c>
      <c r="K438" s="3">
        <f t="shared" si="61"/>
        <v>3265.08</v>
      </c>
      <c r="L438" s="2" t="s">
        <v>18</v>
      </c>
      <c r="M438" s="31">
        <f t="shared" si="62"/>
        <v>3549</v>
      </c>
      <c r="N438" s="33">
        <f t="shared" si="63"/>
        <v>3380</v>
      </c>
      <c r="O438" s="31" t="str">
        <f t="shared" si="64"/>
        <v>April</v>
      </c>
      <c r="P438" s="33">
        <f t="shared" si="65"/>
        <v>-3096.08</v>
      </c>
      <c r="Q438" s="33">
        <f t="shared" si="66"/>
        <v>1.0351966873706004</v>
      </c>
      <c r="R438" s="33">
        <f t="shared" si="67"/>
        <v>155.47999999999999</v>
      </c>
      <c r="S438" s="33" t="str">
        <f t="shared" si="68"/>
        <v>Large</v>
      </c>
      <c r="T438" s="33" t="str">
        <f t="shared" si="69"/>
        <v>Low</v>
      </c>
    </row>
    <row r="439" spans="1:20" x14ac:dyDescent="0.3">
      <c r="A439" s="5" t="s">
        <v>774</v>
      </c>
      <c r="B439" s="5" t="s">
        <v>775</v>
      </c>
      <c r="C439" s="5" t="s">
        <v>21</v>
      </c>
      <c r="D439" s="5" t="s">
        <v>22</v>
      </c>
      <c r="E439" s="5" t="s">
        <v>66</v>
      </c>
      <c r="F439" s="5" t="s">
        <v>17</v>
      </c>
      <c r="G439" s="5">
        <v>11</v>
      </c>
      <c r="H439" s="6">
        <v>549</v>
      </c>
      <c r="I439" s="6">
        <f t="shared" si="60"/>
        <v>6039</v>
      </c>
      <c r="J439" s="7">
        <v>15</v>
      </c>
      <c r="K439" s="6">
        <f t="shared" si="61"/>
        <v>5133.1499999999996</v>
      </c>
      <c r="L439" s="5" t="s">
        <v>18</v>
      </c>
      <c r="M439" s="31">
        <f t="shared" si="62"/>
        <v>6039</v>
      </c>
      <c r="N439" s="33">
        <f t="shared" si="63"/>
        <v>5490</v>
      </c>
      <c r="O439" s="31" t="str">
        <f t="shared" si="64"/>
        <v>April</v>
      </c>
      <c r="P439" s="33">
        <f t="shared" si="65"/>
        <v>-4584.1499999999996</v>
      </c>
      <c r="Q439" s="33">
        <f t="shared" si="66"/>
        <v>1.0695187165775402</v>
      </c>
      <c r="R439" s="33">
        <f t="shared" si="67"/>
        <v>466.65</v>
      </c>
      <c r="S439" s="33" t="str">
        <f t="shared" si="68"/>
        <v>Large</v>
      </c>
      <c r="T439" s="33" t="str">
        <f t="shared" si="69"/>
        <v>High</v>
      </c>
    </row>
    <row r="440" spans="1:20" x14ac:dyDescent="0.3">
      <c r="A440" s="2" t="s">
        <v>776</v>
      </c>
      <c r="B440" s="2" t="s">
        <v>775</v>
      </c>
      <c r="C440" s="2" t="s">
        <v>52</v>
      </c>
      <c r="D440" s="2" t="s">
        <v>33</v>
      </c>
      <c r="E440" s="2" t="s">
        <v>60</v>
      </c>
      <c r="F440" s="2" t="s">
        <v>61</v>
      </c>
      <c r="G440" s="2">
        <v>10</v>
      </c>
      <c r="H440" s="3">
        <v>49.99</v>
      </c>
      <c r="I440" s="3">
        <f t="shared" si="60"/>
        <v>499.90000000000003</v>
      </c>
      <c r="J440" s="4">
        <v>10</v>
      </c>
      <c r="K440" s="3">
        <f t="shared" si="61"/>
        <v>449.91</v>
      </c>
      <c r="L440" s="2" t="s">
        <v>18</v>
      </c>
      <c r="M440" s="31">
        <f t="shared" si="62"/>
        <v>499.90000000000003</v>
      </c>
      <c r="N440" s="33">
        <f t="shared" si="63"/>
        <v>449.91</v>
      </c>
      <c r="O440" s="31" t="str">
        <f t="shared" si="64"/>
        <v>April</v>
      </c>
      <c r="P440" s="33">
        <f t="shared" si="65"/>
        <v>-399.92</v>
      </c>
      <c r="Q440" s="33">
        <f t="shared" si="66"/>
        <v>1</v>
      </c>
      <c r="R440" s="33">
        <f t="shared" si="67"/>
        <v>44.991</v>
      </c>
      <c r="S440" s="33" t="str">
        <f t="shared" si="68"/>
        <v>Large</v>
      </c>
      <c r="T440" s="33" t="str">
        <f t="shared" si="69"/>
        <v>High</v>
      </c>
    </row>
    <row r="441" spans="1:20" x14ac:dyDescent="0.3">
      <c r="A441" s="5" t="s">
        <v>777</v>
      </c>
      <c r="B441" s="5" t="s">
        <v>778</v>
      </c>
      <c r="C441" s="5" t="s">
        <v>80</v>
      </c>
      <c r="D441" s="5" t="s">
        <v>22</v>
      </c>
      <c r="E441" s="5" t="s">
        <v>144</v>
      </c>
      <c r="F441" s="5" t="s">
        <v>30</v>
      </c>
      <c r="G441" s="5">
        <v>18</v>
      </c>
      <c r="H441" s="6">
        <v>79.989999999999995</v>
      </c>
      <c r="I441" s="6">
        <f t="shared" si="60"/>
        <v>1439.82</v>
      </c>
      <c r="J441" s="7">
        <v>8</v>
      </c>
      <c r="K441" s="6">
        <f t="shared" si="61"/>
        <v>1324.6343999999999</v>
      </c>
      <c r="L441" s="5" t="s">
        <v>18</v>
      </c>
      <c r="M441" s="31">
        <f t="shared" si="62"/>
        <v>1439.82</v>
      </c>
      <c r="N441" s="33">
        <f t="shared" si="63"/>
        <v>1359.83</v>
      </c>
      <c r="O441" s="31" t="str">
        <f t="shared" si="64"/>
        <v>April</v>
      </c>
      <c r="P441" s="33">
        <f t="shared" si="65"/>
        <v>-1244.6443999999999</v>
      </c>
      <c r="Q441" s="33">
        <f t="shared" si="66"/>
        <v>1.0265700483091789</v>
      </c>
      <c r="R441" s="33">
        <f t="shared" si="67"/>
        <v>73.590800000000002</v>
      </c>
      <c r="S441" s="33" t="str">
        <f t="shared" si="68"/>
        <v>Large</v>
      </c>
      <c r="T441" s="33" t="str">
        <f t="shared" si="69"/>
        <v>Low</v>
      </c>
    </row>
    <row r="442" spans="1:20" x14ac:dyDescent="0.3">
      <c r="A442" s="2" t="s">
        <v>779</v>
      </c>
      <c r="B442" s="2" t="s">
        <v>780</v>
      </c>
      <c r="C442" s="2" t="s">
        <v>52</v>
      </c>
      <c r="D442" s="2" t="s">
        <v>33</v>
      </c>
      <c r="E442" s="2" t="s">
        <v>147</v>
      </c>
      <c r="F442" s="2" t="s">
        <v>24</v>
      </c>
      <c r="G442" s="2">
        <v>15</v>
      </c>
      <c r="H442" s="3">
        <v>79.989999999999995</v>
      </c>
      <c r="I442" s="3">
        <f t="shared" si="60"/>
        <v>1199.8499999999999</v>
      </c>
      <c r="J442" s="4">
        <v>0</v>
      </c>
      <c r="K442" s="3">
        <f t="shared" si="61"/>
        <v>1199.8499999999999</v>
      </c>
      <c r="L442" s="2" t="s">
        <v>18</v>
      </c>
      <c r="M442" s="31">
        <f t="shared" si="62"/>
        <v>1199.8499999999999</v>
      </c>
      <c r="N442" s="33">
        <f t="shared" si="63"/>
        <v>1119.8599999999999</v>
      </c>
      <c r="O442" s="31" t="str">
        <f t="shared" si="64"/>
        <v>April</v>
      </c>
      <c r="P442" s="33">
        <f t="shared" si="65"/>
        <v>-1119.8599999999999</v>
      </c>
      <c r="Q442" s="33">
        <f t="shared" si="66"/>
        <v>0.93333333333333335</v>
      </c>
      <c r="R442" s="33">
        <f t="shared" si="67"/>
        <v>79.989999999999995</v>
      </c>
      <c r="S442" s="33" t="str">
        <f t="shared" si="68"/>
        <v>Large</v>
      </c>
      <c r="T442" s="33" t="str">
        <f t="shared" si="69"/>
        <v>High</v>
      </c>
    </row>
    <row r="443" spans="1:20" x14ac:dyDescent="0.3">
      <c r="A443" s="5" t="s">
        <v>781</v>
      </c>
      <c r="B443" s="5" t="s">
        <v>782</v>
      </c>
      <c r="C443" s="5" t="s">
        <v>21</v>
      </c>
      <c r="D443" s="5" t="s">
        <v>22</v>
      </c>
      <c r="E443" s="5" t="s">
        <v>99</v>
      </c>
      <c r="F443" s="5" t="s">
        <v>30</v>
      </c>
      <c r="G443" s="5">
        <v>27</v>
      </c>
      <c r="H443" s="6">
        <v>89.99</v>
      </c>
      <c r="I443" s="6">
        <f t="shared" si="60"/>
        <v>2429.73</v>
      </c>
      <c r="J443" s="7">
        <v>0</v>
      </c>
      <c r="K443" s="6">
        <f t="shared" si="61"/>
        <v>2429.73</v>
      </c>
      <c r="L443" s="5" t="s">
        <v>18</v>
      </c>
      <c r="M443" s="31">
        <f t="shared" si="62"/>
        <v>2429.73</v>
      </c>
      <c r="N443" s="33">
        <f t="shared" si="63"/>
        <v>2339.7400000000002</v>
      </c>
      <c r="O443" s="31" t="str">
        <f t="shared" si="64"/>
        <v>April</v>
      </c>
      <c r="P443" s="33">
        <f t="shared" si="65"/>
        <v>-2339.7400000000002</v>
      </c>
      <c r="Q443" s="33">
        <f t="shared" si="66"/>
        <v>0.96296296296296302</v>
      </c>
      <c r="R443" s="33">
        <f t="shared" si="67"/>
        <v>89.99</v>
      </c>
      <c r="S443" s="33" t="str">
        <f t="shared" si="68"/>
        <v>Large</v>
      </c>
      <c r="T443" s="33" t="str">
        <f t="shared" si="69"/>
        <v>High</v>
      </c>
    </row>
    <row r="444" spans="1:20" x14ac:dyDescent="0.3">
      <c r="A444" s="2" t="s">
        <v>783</v>
      </c>
      <c r="B444" s="2" t="s">
        <v>782</v>
      </c>
      <c r="C444" s="2" t="s">
        <v>80</v>
      </c>
      <c r="D444" s="2" t="s">
        <v>22</v>
      </c>
      <c r="E444" s="2" t="s">
        <v>60</v>
      </c>
      <c r="F444" s="2" t="s">
        <v>61</v>
      </c>
      <c r="G444" s="2">
        <v>25</v>
      </c>
      <c r="H444" s="3">
        <v>49.99</v>
      </c>
      <c r="I444" s="3">
        <f t="shared" si="60"/>
        <v>1249.75</v>
      </c>
      <c r="J444" s="4">
        <v>0</v>
      </c>
      <c r="K444" s="3">
        <f t="shared" si="61"/>
        <v>1249.75</v>
      </c>
      <c r="L444" s="2" t="s">
        <v>18</v>
      </c>
      <c r="M444" s="31">
        <f t="shared" si="62"/>
        <v>1249.75</v>
      </c>
      <c r="N444" s="33">
        <f t="shared" si="63"/>
        <v>1199.76</v>
      </c>
      <c r="O444" s="31" t="str">
        <f t="shared" si="64"/>
        <v>April</v>
      </c>
      <c r="P444" s="33">
        <f t="shared" si="65"/>
        <v>-1199.76</v>
      </c>
      <c r="Q444" s="33">
        <f t="shared" si="66"/>
        <v>0.96</v>
      </c>
      <c r="R444" s="33">
        <f t="shared" si="67"/>
        <v>49.99</v>
      </c>
      <c r="S444" s="33" t="str">
        <f t="shared" si="68"/>
        <v>Large</v>
      </c>
      <c r="T444" s="33" t="str">
        <f t="shared" si="69"/>
        <v>High</v>
      </c>
    </row>
    <row r="445" spans="1:20" x14ac:dyDescent="0.3">
      <c r="A445" s="14" t="s">
        <v>784</v>
      </c>
      <c r="B445" s="14" t="s">
        <v>785</v>
      </c>
      <c r="C445" s="14" t="s">
        <v>49</v>
      </c>
      <c r="D445" s="14" t="s">
        <v>38</v>
      </c>
      <c r="E445" s="14" t="s">
        <v>144</v>
      </c>
      <c r="F445" s="14" t="s">
        <v>30</v>
      </c>
      <c r="G445" s="14">
        <v>14</v>
      </c>
      <c r="H445" s="15">
        <v>79.989999999999995</v>
      </c>
      <c r="I445" s="15">
        <f t="shared" si="60"/>
        <v>1119.8599999999999</v>
      </c>
      <c r="J445" s="16">
        <v>15</v>
      </c>
      <c r="K445" s="15">
        <f t="shared" si="61"/>
        <v>951.88099999999986</v>
      </c>
      <c r="L445" s="14" t="s">
        <v>132</v>
      </c>
      <c r="M445" s="31">
        <f t="shared" si="62"/>
        <v>1119.8599999999999</v>
      </c>
      <c r="N445" s="33">
        <f t="shared" si="63"/>
        <v>1039.8699999999999</v>
      </c>
      <c r="O445" s="31" t="str">
        <f t="shared" si="64"/>
        <v>April</v>
      </c>
      <c r="P445" s="33">
        <f t="shared" si="65"/>
        <v>-871.89099999999985</v>
      </c>
      <c r="Q445" s="33">
        <f t="shared" si="66"/>
        <v>1.0924369747899161</v>
      </c>
      <c r="R445" s="33">
        <f t="shared" si="67"/>
        <v>67.991499999999988</v>
      </c>
      <c r="S445" s="33" t="str">
        <f t="shared" si="68"/>
        <v>Large</v>
      </c>
      <c r="T445" s="33" t="str">
        <f t="shared" si="69"/>
        <v>High</v>
      </c>
    </row>
    <row r="446" spans="1:20" x14ac:dyDescent="0.3">
      <c r="A446" s="2" t="s">
        <v>786</v>
      </c>
      <c r="B446" s="2" t="s">
        <v>787</v>
      </c>
      <c r="C446" s="2" t="s">
        <v>55</v>
      </c>
      <c r="D446" s="2" t="s">
        <v>38</v>
      </c>
      <c r="E446" s="2" t="s">
        <v>16</v>
      </c>
      <c r="F446" s="2" t="s">
        <v>17</v>
      </c>
      <c r="G446" s="2">
        <v>2</v>
      </c>
      <c r="H446" s="3">
        <v>129</v>
      </c>
      <c r="I446" s="3">
        <f t="shared" si="60"/>
        <v>258</v>
      </c>
      <c r="J446" s="4">
        <v>0</v>
      </c>
      <c r="K446" s="3">
        <f t="shared" si="61"/>
        <v>258</v>
      </c>
      <c r="L446" s="2" t="s">
        <v>18</v>
      </c>
      <c r="M446" s="31">
        <f t="shared" si="62"/>
        <v>258</v>
      </c>
      <c r="N446" s="33">
        <f t="shared" si="63"/>
        <v>129</v>
      </c>
      <c r="O446" s="31" t="str">
        <f t="shared" si="64"/>
        <v>April</v>
      </c>
      <c r="P446" s="33">
        <f t="shared" si="65"/>
        <v>-129</v>
      </c>
      <c r="Q446" s="33">
        <f t="shared" si="66"/>
        <v>0.5</v>
      </c>
      <c r="R446" s="33">
        <f t="shared" si="67"/>
        <v>129</v>
      </c>
      <c r="S446" s="33" t="str">
        <f t="shared" si="68"/>
        <v>Small</v>
      </c>
      <c r="T446" s="33" t="str">
        <f t="shared" si="69"/>
        <v>Low</v>
      </c>
    </row>
    <row r="447" spans="1:20" x14ac:dyDescent="0.3">
      <c r="A447" s="8" t="s">
        <v>788</v>
      </c>
      <c r="B447" s="8" t="s">
        <v>789</v>
      </c>
      <c r="C447" s="8" t="s">
        <v>41</v>
      </c>
      <c r="D447" s="8" t="s">
        <v>15</v>
      </c>
      <c r="E447" s="8" t="s">
        <v>77</v>
      </c>
      <c r="F447" s="8" t="s">
        <v>61</v>
      </c>
      <c r="G447" s="8">
        <v>7</v>
      </c>
      <c r="H447" s="9">
        <v>149</v>
      </c>
      <c r="I447" s="9">
        <f t="shared" si="60"/>
        <v>1043</v>
      </c>
      <c r="J447" s="10">
        <v>15</v>
      </c>
      <c r="K447" s="9">
        <f t="shared" si="61"/>
        <v>886.55</v>
      </c>
      <c r="L447" s="8" t="s">
        <v>72</v>
      </c>
      <c r="M447" s="31">
        <f t="shared" si="62"/>
        <v>1043</v>
      </c>
      <c r="N447" s="33">
        <f t="shared" si="63"/>
        <v>894</v>
      </c>
      <c r="O447" s="31" t="str">
        <f t="shared" si="64"/>
        <v>April</v>
      </c>
      <c r="P447" s="33">
        <f t="shared" si="65"/>
        <v>-737.55</v>
      </c>
      <c r="Q447" s="33">
        <f t="shared" si="66"/>
        <v>1.0084033613445378</v>
      </c>
      <c r="R447" s="33">
        <f t="shared" si="67"/>
        <v>126.64999999999999</v>
      </c>
      <c r="S447" s="33" t="str">
        <f t="shared" si="68"/>
        <v>Small</v>
      </c>
      <c r="T447" s="33" t="str">
        <f t="shared" si="69"/>
        <v>Low</v>
      </c>
    </row>
    <row r="448" spans="1:20" x14ac:dyDescent="0.3">
      <c r="A448" s="11" t="s">
        <v>790</v>
      </c>
      <c r="B448" s="11" t="s">
        <v>789</v>
      </c>
      <c r="C448" s="11" t="s">
        <v>49</v>
      </c>
      <c r="D448" s="11" t="s">
        <v>38</v>
      </c>
      <c r="E448" s="11" t="s">
        <v>147</v>
      </c>
      <c r="F448" s="11" t="s">
        <v>24</v>
      </c>
      <c r="G448" s="11">
        <v>8</v>
      </c>
      <c r="H448" s="12">
        <v>79.989999999999995</v>
      </c>
      <c r="I448" s="12">
        <f t="shared" si="60"/>
        <v>639.91999999999996</v>
      </c>
      <c r="J448" s="13">
        <v>0</v>
      </c>
      <c r="K448" s="12">
        <f t="shared" si="61"/>
        <v>639.91999999999996</v>
      </c>
      <c r="L448" s="11" t="s">
        <v>72</v>
      </c>
      <c r="M448" s="31">
        <f t="shared" si="62"/>
        <v>639.91999999999996</v>
      </c>
      <c r="N448" s="33">
        <f t="shared" si="63"/>
        <v>559.92999999999995</v>
      </c>
      <c r="O448" s="31" t="str">
        <f t="shared" si="64"/>
        <v>April</v>
      </c>
      <c r="P448" s="33">
        <f t="shared" si="65"/>
        <v>-559.92999999999995</v>
      </c>
      <c r="Q448" s="33">
        <f t="shared" si="66"/>
        <v>0.875</v>
      </c>
      <c r="R448" s="33">
        <f t="shared" si="67"/>
        <v>79.989999999999995</v>
      </c>
      <c r="S448" s="33" t="str">
        <f t="shared" si="68"/>
        <v>Small</v>
      </c>
      <c r="T448" s="33" t="str">
        <f t="shared" si="69"/>
        <v>Low</v>
      </c>
    </row>
    <row r="449" spans="1:20" x14ac:dyDescent="0.3">
      <c r="A449" s="5" t="s">
        <v>791</v>
      </c>
      <c r="B449" s="5" t="s">
        <v>789</v>
      </c>
      <c r="C449" s="5" t="s">
        <v>37</v>
      </c>
      <c r="D449" s="5" t="s">
        <v>38</v>
      </c>
      <c r="E449" s="5" t="s">
        <v>34</v>
      </c>
      <c r="F449" s="5" t="s">
        <v>30</v>
      </c>
      <c r="G449" s="5">
        <v>6</v>
      </c>
      <c r="H449" s="6">
        <v>19.989999999999998</v>
      </c>
      <c r="I449" s="6">
        <f t="shared" si="60"/>
        <v>119.94</v>
      </c>
      <c r="J449" s="7">
        <v>15</v>
      </c>
      <c r="K449" s="6">
        <f t="shared" si="61"/>
        <v>101.949</v>
      </c>
      <c r="L449" s="5" t="s">
        <v>18</v>
      </c>
      <c r="M449" s="31">
        <f t="shared" si="62"/>
        <v>119.94</v>
      </c>
      <c r="N449" s="33">
        <f t="shared" si="63"/>
        <v>99.95</v>
      </c>
      <c r="O449" s="31" t="str">
        <f t="shared" si="64"/>
        <v>April</v>
      </c>
      <c r="P449" s="33">
        <f t="shared" si="65"/>
        <v>-81.959000000000003</v>
      </c>
      <c r="Q449" s="33">
        <f t="shared" si="66"/>
        <v>0.98039215686274517</v>
      </c>
      <c r="R449" s="33">
        <f t="shared" si="67"/>
        <v>16.991499999999998</v>
      </c>
      <c r="S449" s="33" t="str">
        <f t="shared" si="68"/>
        <v>Small</v>
      </c>
      <c r="T449" s="33" t="str">
        <f t="shared" si="69"/>
        <v>Low</v>
      </c>
    </row>
    <row r="450" spans="1:20" x14ac:dyDescent="0.3">
      <c r="A450" s="2" t="s">
        <v>792</v>
      </c>
      <c r="B450" s="2" t="s">
        <v>793</v>
      </c>
      <c r="C450" s="2" t="s">
        <v>21</v>
      </c>
      <c r="D450" s="2" t="s">
        <v>22</v>
      </c>
      <c r="E450" s="2" t="s">
        <v>188</v>
      </c>
      <c r="F450" s="2" t="s">
        <v>17</v>
      </c>
      <c r="G450" s="2">
        <v>4</v>
      </c>
      <c r="H450" s="3">
        <v>39.99</v>
      </c>
      <c r="I450" s="3">
        <f t="shared" ref="I450:I501" si="70">H450*G450</f>
        <v>159.96</v>
      </c>
      <c r="J450" s="4">
        <v>0</v>
      </c>
      <c r="K450" s="3">
        <f t="shared" ref="K450:K501" si="71">I450*(1-J450/100)</f>
        <v>159.96</v>
      </c>
      <c r="L450" s="2" t="s">
        <v>18</v>
      </c>
      <c r="M450" s="31">
        <f t="shared" si="62"/>
        <v>159.96</v>
      </c>
      <c r="N450" s="33">
        <f t="shared" si="63"/>
        <v>119.97</v>
      </c>
      <c r="O450" s="31" t="str">
        <f t="shared" si="64"/>
        <v>May</v>
      </c>
      <c r="P450" s="33">
        <f t="shared" si="65"/>
        <v>-119.97</v>
      </c>
      <c r="Q450" s="33">
        <f t="shared" si="66"/>
        <v>0.75</v>
      </c>
      <c r="R450" s="33">
        <f t="shared" si="67"/>
        <v>39.99</v>
      </c>
      <c r="S450" s="33" t="str">
        <f t="shared" si="68"/>
        <v>Small</v>
      </c>
      <c r="T450" s="33" t="str">
        <f t="shared" si="69"/>
        <v>Low</v>
      </c>
    </row>
    <row r="451" spans="1:20" x14ac:dyDescent="0.3">
      <c r="A451" s="5" t="s">
        <v>794</v>
      </c>
      <c r="B451" s="5" t="s">
        <v>793</v>
      </c>
      <c r="C451" s="5" t="s">
        <v>21</v>
      </c>
      <c r="D451" s="5" t="s">
        <v>22</v>
      </c>
      <c r="E451" s="5" t="s">
        <v>34</v>
      </c>
      <c r="F451" s="5" t="s">
        <v>30</v>
      </c>
      <c r="G451" s="5">
        <v>13</v>
      </c>
      <c r="H451" s="6">
        <v>19.989999999999998</v>
      </c>
      <c r="I451" s="6">
        <f t="shared" si="70"/>
        <v>259.87</v>
      </c>
      <c r="J451" s="7">
        <v>15</v>
      </c>
      <c r="K451" s="6">
        <f t="shared" si="71"/>
        <v>220.8895</v>
      </c>
      <c r="L451" s="5" t="s">
        <v>18</v>
      </c>
      <c r="M451" s="31">
        <f t="shared" ref="M451:M501" si="72">G451*H451</f>
        <v>259.87</v>
      </c>
      <c r="N451" s="33">
        <f t="shared" ref="N451:N501" si="73">M451-H451</f>
        <v>239.88</v>
      </c>
      <c r="O451" s="31" t="str">
        <f t="shared" ref="O451:O501" si="74">TEXT(B451,"MMMM")</f>
        <v>May</v>
      </c>
      <c r="P451" s="33">
        <f t="shared" ref="P451:P501" si="75">H451-K451</f>
        <v>-200.89949999999999</v>
      </c>
      <c r="Q451" s="33">
        <f t="shared" ref="Q451:Q501" si="76">N451/K451</f>
        <v>1.0859728506787329</v>
      </c>
      <c r="R451" s="33">
        <f t="shared" ref="R451:R501" si="77">K451/G451</f>
        <v>16.991499999999998</v>
      </c>
      <c r="S451" s="33" t="str">
        <f t="shared" ref="S451:S501" si="78">IF(G451&gt;=10,"Large","Small")</f>
        <v>Large</v>
      </c>
      <c r="T451" s="33" t="str">
        <f t="shared" ref="T451:T501" si="79">IF(K450&gt;1000,"High","Low")</f>
        <v>Low</v>
      </c>
    </row>
    <row r="452" spans="1:20" x14ac:dyDescent="0.3">
      <c r="A452" s="2" t="s">
        <v>795</v>
      </c>
      <c r="B452" s="2" t="s">
        <v>796</v>
      </c>
      <c r="C452" s="2" t="s">
        <v>49</v>
      </c>
      <c r="D452" s="2" t="s">
        <v>38</v>
      </c>
      <c r="E452" s="2" t="s">
        <v>87</v>
      </c>
      <c r="F452" s="2" t="s">
        <v>61</v>
      </c>
      <c r="G452" s="2">
        <v>1</v>
      </c>
      <c r="H452" s="3">
        <v>299</v>
      </c>
      <c r="I452" s="3">
        <f t="shared" si="70"/>
        <v>299</v>
      </c>
      <c r="J452" s="4">
        <v>10</v>
      </c>
      <c r="K452" s="3">
        <f t="shared" si="71"/>
        <v>269.10000000000002</v>
      </c>
      <c r="L452" s="2" t="s">
        <v>18</v>
      </c>
      <c r="M452" s="31">
        <f t="shared" si="72"/>
        <v>299</v>
      </c>
      <c r="N452" s="33">
        <f t="shared" si="73"/>
        <v>0</v>
      </c>
      <c r="O452" s="31" t="str">
        <f t="shared" si="74"/>
        <v>May</v>
      </c>
      <c r="P452" s="33">
        <f t="shared" si="75"/>
        <v>29.899999999999977</v>
      </c>
      <c r="Q452" s="33">
        <f t="shared" si="76"/>
        <v>0</v>
      </c>
      <c r="R452" s="33">
        <f t="shared" si="77"/>
        <v>269.10000000000002</v>
      </c>
      <c r="S452" s="33" t="str">
        <f t="shared" si="78"/>
        <v>Small</v>
      </c>
      <c r="T452" s="33" t="str">
        <f t="shared" si="79"/>
        <v>Low</v>
      </c>
    </row>
    <row r="453" spans="1:20" x14ac:dyDescent="0.3">
      <c r="A453" s="5" t="s">
        <v>797</v>
      </c>
      <c r="B453" s="5" t="s">
        <v>798</v>
      </c>
      <c r="C453" s="5" t="s">
        <v>52</v>
      </c>
      <c r="D453" s="5" t="s">
        <v>33</v>
      </c>
      <c r="E453" s="5" t="s">
        <v>90</v>
      </c>
      <c r="F453" s="5" t="s">
        <v>24</v>
      </c>
      <c r="G453" s="5">
        <v>2</v>
      </c>
      <c r="H453" s="6">
        <v>149.99</v>
      </c>
      <c r="I453" s="6">
        <f t="shared" si="70"/>
        <v>299.98</v>
      </c>
      <c r="J453" s="7">
        <v>5</v>
      </c>
      <c r="K453" s="6">
        <f t="shared" si="71"/>
        <v>284.98099999999999</v>
      </c>
      <c r="L453" s="5" t="s">
        <v>18</v>
      </c>
      <c r="M453" s="31">
        <f t="shared" si="72"/>
        <v>299.98</v>
      </c>
      <c r="N453" s="33">
        <f t="shared" si="73"/>
        <v>149.99</v>
      </c>
      <c r="O453" s="31" t="str">
        <f t="shared" si="74"/>
        <v>May</v>
      </c>
      <c r="P453" s="33">
        <f t="shared" si="75"/>
        <v>-134.99099999999999</v>
      </c>
      <c r="Q453" s="33">
        <f t="shared" si="76"/>
        <v>0.52631578947368429</v>
      </c>
      <c r="R453" s="33">
        <f t="shared" si="77"/>
        <v>142.4905</v>
      </c>
      <c r="S453" s="33" t="str">
        <f t="shared" si="78"/>
        <v>Small</v>
      </c>
      <c r="T453" s="33" t="str">
        <f t="shared" si="79"/>
        <v>Low</v>
      </c>
    </row>
    <row r="454" spans="1:20" x14ac:dyDescent="0.3">
      <c r="A454" s="2" t="s">
        <v>799</v>
      </c>
      <c r="B454" s="2" t="s">
        <v>800</v>
      </c>
      <c r="C454" s="2" t="s">
        <v>80</v>
      </c>
      <c r="D454" s="2" t="s">
        <v>22</v>
      </c>
      <c r="E454" s="2" t="s">
        <v>106</v>
      </c>
      <c r="F454" s="2" t="s">
        <v>17</v>
      </c>
      <c r="G454" s="2">
        <v>10</v>
      </c>
      <c r="H454" s="3">
        <v>199</v>
      </c>
      <c r="I454" s="3">
        <f t="shared" si="70"/>
        <v>1990</v>
      </c>
      <c r="J454" s="4">
        <v>12</v>
      </c>
      <c r="K454" s="3">
        <f t="shared" si="71"/>
        <v>1751.2</v>
      </c>
      <c r="L454" s="2" t="s">
        <v>18</v>
      </c>
      <c r="M454" s="31">
        <f t="shared" si="72"/>
        <v>1990</v>
      </c>
      <c r="N454" s="33">
        <f t="shared" si="73"/>
        <v>1791</v>
      </c>
      <c r="O454" s="31" t="str">
        <f t="shared" si="74"/>
        <v>May</v>
      </c>
      <c r="P454" s="33">
        <f t="shared" si="75"/>
        <v>-1552.2</v>
      </c>
      <c r="Q454" s="33">
        <f t="shared" si="76"/>
        <v>1.0227272727272727</v>
      </c>
      <c r="R454" s="33">
        <f t="shared" si="77"/>
        <v>175.12</v>
      </c>
      <c r="S454" s="33" t="str">
        <f t="shared" si="78"/>
        <v>Large</v>
      </c>
      <c r="T454" s="33" t="str">
        <f t="shared" si="79"/>
        <v>Low</v>
      </c>
    </row>
    <row r="455" spans="1:20" x14ac:dyDescent="0.3">
      <c r="A455" s="5" t="s">
        <v>801</v>
      </c>
      <c r="B455" s="5" t="s">
        <v>802</v>
      </c>
      <c r="C455" s="5" t="s">
        <v>32</v>
      </c>
      <c r="D455" s="5" t="s">
        <v>33</v>
      </c>
      <c r="E455" s="5" t="s">
        <v>90</v>
      </c>
      <c r="F455" s="5" t="s">
        <v>24</v>
      </c>
      <c r="G455" s="5">
        <v>14</v>
      </c>
      <c r="H455" s="6">
        <v>149.99</v>
      </c>
      <c r="I455" s="6">
        <f t="shared" si="70"/>
        <v>2099.86</v>
      </c>
      <c r="J455" s="7">
        <v>12</v>
      </c>
      <c r="K455" s="6">
        <f t="shared" si="71"/>
        <v>1847.8768000000002</v>
      </c>
      <c r="L455" s="5" t="s">
        <v>18</v>
      </c>
      <c r="M455" s="31">
        <f t="shared" si="72"/>
        <v>2099.86</v>
      </c>
      <c r="N455" s="33">
        <f t="shared" si="73"/>
        <v>1949.8700000000001</v>
      </c>
      <c r="O455" s="31" t="str">
        <f t="shared" si="74"/>
        <v>May</v>
      </c>
      <c r="P455" s="33">
        <f t="shared" si="75"/>
        <v>-1697.8868000000002</v>
      </c>
      <c r="Q455" s="33">
        <f t="shared" si="76"/>
        <v>1.055194805194805</v>
      </c>
      <c r="R455" s="33">
        <f t="shared" si="77"/>
        <v>131.99120000000002</v>
      </c>
      <c r="S455" s="33" t="str">
        <f t="shared" si="78"/>
        <v>Large</v>
      </c>
      <c r="T455" s="33" t="str">
        <f t="shared" si="79"/>
        <v>High</v>
      </c>
    </row>
    <row r="456" spans="1:20" x14ac:dyDescent="0.3">
      <c r="A456" s="2" t="s">
        <v>803</v>
      </c>
      <c r="B456" s="2" t="s">
        <v>804</v>
      </c>
      <c r="C456" s="2" t="s">
        <v>28</v>
      </c>
      <c r="D456" s="2" t="s">
        <v>22</v>
      </c>
      <c r="E456" s="2" t="s">
        <v>74</v>
      </c>
      <c r="F456" s="2" t="s">
        <v>30</v>
      </c>
      <c r="G456" s="2">
        <v>21</v>
      </c>
      <c r="H456" s="3">
        <v>49.99</v>
      </c>
      <c r="I456" s="3">
        <f t="shared" si="70"/>
        <v>1049.79</v>
      </c>
      <c r="J456" s="4">
        <v>5</v>
      </c>
      <c r="K456" s="3">
        <f t="shared" si="71"/>
        <v>997.30049999999994</v>
      </c>
      <c r="L456" s="2" t="s">
        <v>18</v>
      </c>
      <c r="M456" s="31">
        <f t="shared" si="72"/>
        <v>1049.79</v>
      </c>
      <c r="N456" s="33">
        <f t="shared" si="73"/>
        <v>999.8</v>
      </c>
      <c r="O456" s="31" t="str">
        <f t="shared" si="74"/>
        <v>May</v>
      </c>
      <c r="P456" s="33">
        <f t="shared" si="75"/>
        <v>-947.31049999999993</v>
      </c>
      <c r="Q456" s="33">
        <f t="shared" si="76"/>
        <v>1.0025062656641603</v>
      </c>
      <c r="R456" s="33">
        <f t="shared" si="77"/>
        <v>47.490499999999997</v>
      </c>
      <c r="S456" s="33" t="str">
        <f t="shared" si="78"/>
        <v>Large</v>
      </c>
      <c r="T456" s="33" t="str">
        <f t="shared" si="79"/>
        <v>High</v>
      </c>
    </row>
    <row r="457" spans="1:20" x14ac:dyDescent="0.3">
      <c r="A457" s="8" t="s">
        <v>805</v>
      </c>
      <c r="B457" s="8" t="s">
        <v>804</v>
      </c>
      <c r="C457" s="8" t="s">
        <v>28</v>
      </c>
      <c r="D457" s="8" t="s">
        <v>22</v>
      </c>
      <c r="E457" s="8" t="s">
        <v>39</v>
      </c>
      <c r="F457" s="8" t="s">
        <v>17</v>
      </c>
      <c r="G457" s="8">
        <v>12</v>
      </c>
      <c r="H457" s="9">
        <v>299</v>
      </c>
      <c r="I457" s="9">
        <f t="shared" si="70"/>
        <v>3588</v>
      </c>
      <c r="J457" s="10">
        <v>0</v>
      </c>
      <c r="K457" s="9">
        <f t="shared" si="71"/>
        <v>3588</v>
      </c>
      <c r="L457" s="8" t="s">
        <v>72</v>
      </c>
      <c r="M457" s="31">
        <f t="shared" si="72"/>
        <v>3588</v>
      </c>
      <c r="N457" s="33">
        <f t="shared" si="73"/>
        <v>3289</v>
      </c>
      <c r="O457" s="31" t="str">
        <f t="shared" si="74"/>
        <v>May</v>
      </c>
      <c r="P457" s="33">
        <f t="shared" si="75"/>
        <v>-3289</v>
      </c>
      <c r="Q457" s="33">
        <f t="shared" si="76"/>
        <v>0.91666666666666663</v>
      </c>
      <c r="R457" s="33">
        <f t="shared" si="77"/>
        <v>299</v>
      </c>
      <c r="S457" s="33" t="str">
        <f t="shared" si="78"/>
        <v>Large</v>
      </c>
      <c r="T457" s="33" t="str">
        <f t="shared" si="79"/>
        <v>Low</v>
      </c>
    </row>
    <row r="458" spans="1:20" x14ac:dyDescent="0.3">
      <c r="A458" s="2" t="s">
        <v>806</v>
      </c>
      <c r="B458" s="2" t="s">
        <v>807</v>
      </c>
      <c r="C458" s="2" t="s">
        <v>14</v>
      </c>
      <c r="D458" s="2" t="s">
        <v>15</v>
      </c>
      <c r="E458" s="2" t="s">
        <v>103</v>
      </c>
      <c r="F458" s="2" t="s">
        <v>61</v>
      </c>
      <c r="G458" s="2">
        <v>17</v>
      </c>
      <c r="H458" s="3">
        <v>99</v>
      </c>
      <c r="I458" s="3">
        <f t="shared" si="70"/>
        <v>1683</v>
      </c>
      <c r="J458" s="4">
        <v>5</v>
      </c>
      <c r="K458" s="3">
        <f t="shared" si="71"/>
        <v>1598.85</v>
      </c>
      <c r="L458" s="2" t="s">
        <v>18</v>
      </c>
      <c r="M458" s="31">
        <f t="shared" si="72"/>
        <v>1683</v>
      </c>
      <c r="N458" s="33">
        <f t="shared" si="73"/>
        <v>1584</v>
      </c>
      <c r="O458" s="31" t="str">
        <f t="shared" si="74"/>
        <v>May</v>
      </c>
      <c r="P458" s="33">
        <f t="shared" si="75"/>
        <v>-1499.85</v>
      </c>
      <c r="Q458" s="33">
        <f t="shared" si="76"/>
        <v>0.99071207430340558</v>
      </c>
      <c r="R458" s="33">
        <f t="shared" si="77"/>
        <v>94.05</v>
      </c>
      <c r="S458" s="33" t="str">
        <f t="shared" si="78"/>
        <v>Large</v>
      </c>
      <c r="T458" s="33" t="str">
        <f t="shared" si="79"/>
        <v>High</v>
      </c>
    </row>
    <row r="459" spans="1:20" x14ac:dyDescent="0.3">
      <c r="A459" s="8" t="s">
        <v>808</v>
      </c>
      <c r="B459" s="8" t="s">
        <v>809</v>
      </c>
      <c r="C459" s="8" t="s">
        <v>32</v>
      </c>
      <c r="D459" s="8" t="s">
        <v>33</v>
      </c>
      <c r="E459" s="8" t="s">
        <v>82</v>
      </c>
      <c r="F459" s="8" t="s">
        <v>61</v>
      </c>
      <c r="G459" s="8">
        <v>9</v>
      </c>
      <c r="H459" s="9">
        <v>59.99</v>
      </c>
      <c r="I459" s="9">
        <f t="shared" si="70"/>
        <v>539.91</v>
      </c>
      <c r="J459" s="10">
        <v>15</v>
      </c>
      <c r="K459" s="9">
        <f t="shared" si="71"/>
        <v>458.92349999999993</v>
      </c>
      <c r="L459" s="8" t="s">
        <v>72</v>
      </c>
      <c r="M459" s="31">
        <f t="shared" si="72"/>
        <v>539.91</v>
      </c>
      <c r="N459" s="33">
        <f t="shared" si="73"/>
        <v>479.91999999999996</v>
      </c>
      <c r="O459" s="31" t="str">
        <f t="shared" si="74"/>
        <v>May</v>
      </c>
      <c r="P459" s="33">
        <f t="shared" si="75"/>
        <v>-398.93349999999992</v>
      </c>
      <c r="Q459" s="33">
        <f t="shared" si="76"/>
        <v>1.0457516339869282</v>
      </c>
      <c r="R459" s="33">
        <f t="shared" si="77"/>
        <v>50.991499999999995</v>
      </c>
      <c r="S459" s="33" t="str">
        <f t="shared" si="78"/>
        <v>Small</v>
      </c>
      <c r="T459" s="33" t="str">
        <f t="shared" si="79"/>
        <v>High</v>
      </c>
    </row>
    <row r="460" spans="1:20" x14ac:dyDescent="0.3">
      <c r="A460" s="2" t="s">
        <v>810</v>
      </c>
      <c r="B460" s="2" t="s">
        <v>811</v>
      </c>
      <c r="C460" s="2" t="s">
        <v>37</v>
      </c>
      <c r="D460" s="2" t="s">
        <v>38</v>
      </c>
      <c r="E460" s="2" t="s">
        <v>39</v>
      </c>
      <c r="F460" s="2" t="s">
        <v>17</v>
      </c>
      <c r="G460" s="2">
        <v>10</v>
      </c>
      <c r="H460" s="3">
        <v>299</v>
      </c>
      <c r="I460" s="3">
        <f t="shared" si="70"/>
        <v>2990</v>
      </c>
      <c r="J460" s="4">
        <v>10</v>
      </c>
      <c r="K460" s="3">
        <f t="shared" si="71"/>
        <v>2691</v>
      </c>
      <c r="L460" s="2" t="s">
        <v>18</v>
      </c>
      <c r="M460" s="31">
        <f t="shared" si="72"/>
        <v>2990</v>
      </c>
      <c r="N460" s="33">
        <f t="shared" si="73"/>
        <v>2691</v>
      </c>
      <c r="O460" s="31" t="str">
        <f t="shared" si="74"/>
        <v>May</v>
      </c>
      <c r="P460" s="33">
        <f t="shared" si="75"/>
        <v>-2392</v>
      </c>
      <c r="Q460" s="33">
        <f t="shared" si="76"/>
        <v>1</v>
      </c>
      <c r="R460" s="33">
        <f t="shared" si="77"/>
        <v>269.10000000000002</v>
      </c>
      <c r="S460" s="33" t="str">
        <f t="shared" si="78"/>
        <v>Large</v>
      </c>
      <c r="T460" s="33" t="str">
        <f t="shared" si="79"/>
        <v>Low</v>
      </c>
    </row>
    <row r="461" spans="1:20" x14ac:dyDescent="0.3">
      <c r="A461" s="5" t="s">
        <v>812</v>
      </c>
      <c r="B461" s="5" t="s">
        <v>813</v>
      </c>
      <c r="C461" s="5" t="s">
        <v>28</v>
      </c>
      <c r="D461" s="5" t="s">
        <v>22</v>
      </c>
      <c r="E461" s="5" t="s">
        <v>141</v>
      </c>
      <c r="F461" s="5" t="s">
        <v>17</v>
      </c>
      <c r="G461" s="5">
        <v>29</v>
      </c>
      <c r="H461" s="6">
        <v>169</v>
      </c>
      <c r="I461" s="6">
        <f t="shared" si="70"/>
        <v>4901</v>
      </c>
      <c r="J461" s="7">
        <v>5</v>
      </c>
      <c r="K461" s="6">
        <f t="shared" si="71"/>
        <v>4655.95</v>
      </c>
      <c r="L461" s="5" t="s">
        <v>18</v>
      </c>
      <c r="M461" s="31">
        <f t="shared" si="72"/>
        <v>4901</v>
      </c>
      <c r="N461" s="33">
        <f t="shared" si="73"/>
        <v>4732</v>
      </c>
      <c r="O461" s="31" t="str">
        <f t="shared" si="74"/>
        <v>May</v>
      </c>
      <c r="P461" s="33">
        <f t="shared" si="75"/>
        <v>-4486.95</v>
      </c>
      <c r="Q461" s="33">
        <f t="shared" si="76"/>
        <v>1.0163339382940109</v>
      </c>
      <c r="R461" s="33">
        <f t="shared" si="77"/>
        <v>160.54999999999998</v>
      </c>
      <c r="S461" s="33" t="str">
        <f t="shared" si="78"/>
        <v>Large</v>
      </c>
      <c r="T461" s="33" t="str">
        <f t="shared" si="79"/>
        <v>High</v>
      </c>
    </row>
    <row r="462" spans="1:20" x14ac:dyDescent="0.3">
      <c r="A462" s="2" t="s">
        <v>814</v>
      </c>
      <c r="B462" s="2" t="s">
        <v>815</v>
      </c>
      <c r="C462" s="2" t="s">
        <v>32</v>
      </c>
      <c r="D462" s="2" t="s">
        <v>33</v>
      </c>
      <c r="E462" s="2" t="s">
        <v>43</v>
      </c>
      <c r="F462" s="2" t="s">
        <v>24</v>
      </c>
      <c r="G462" s="2">
        <v>8</v>
      </c>
      <c r="H462" s="3">
        <v>399</v>
      </c>
      <c r="I462" s="3">
        <f t="shared" si="70"/>
        <v>3192</v>
      </c>
      <c r="J462" s="4">
        <v>10</v>
      </c>
      <c r="K462" s="3">
        <f t="shared" si="71"/>
        <v>2872.8</v>
      </c>
      <c r="L462" s="2" t="s">
        <v>18</v>
      </c>
      <c r="M462" s="31">
        <f t="shared" si="72"/>
        <v>3192</v>
      </c>
      <c r="N462" s="33">
        <f t="shared" si="73"/>
        <v>2793</v>
      </c>
      <c r="O462" s="31" t="str">
        <f t="shared" si="74"/>
        <v>May</v>
      </c>
      <c r="P462" s="33">
        <f t="shared" si="75"/>
        <v>-2473.8000000000002</v>
      </c>
      <c r="Q462" s="33">
        <f t="shared" si="76"/>
        <v>0.97222222222222221</v>
      </c>
      <c r="R462" s="33">
        <f t="shared" si="77"/>
        <v>359.1</v>
      </c>
      <c r="S462" s="33" t="str">
        <f t="shared" si="78"/>
        <v>Small</v>
      </c>
      <c r="T462" s="33" t="str">
        <f t="shared" si="79"/>
        <v>High</v>
      </c>
    </row>
    <row r="463" spans="1:20" x14ac:dyDescent="0.3">
      <c r="A463" s="5" t="s">
        <v>816</v>
      </c>
      <c r="B463" s="5" t="s">
        <v>815</v>
      </c>
      <c r="C463" s="5" t="s">
        <v>37</v>
      </c>
      <c r="D463" s="5" t="s">
        <v>38</v>
      </c>
      <c r="E463" s="5" t="s">
        <v>60</v>
      </c>
      <c r="F463" s="5" t="s">
        <v>61</v>
      </c>
      <c r="G463" s="5">
        <v>10</v>
      </c>
      <c r="H463" s="6">
        <v>49.99</v>
      </c>
      <c r="I463" s="6">
        <f t="shared" si="70"/>
        <v>499.90000000000003</v>
      </c>
      <c r="J463" s="7">
        <v>5</v>
      </c>
      <c r="K463" s="6">
        <f t="shared" si="71"/>
        <v>474.90500000000003</v>
      </c>
      <c r="L463" s="5" t="s">
        <v>18</v>
      </c>
      <c r="M463" s="31">
        <f t="shared" si="72"/>
        <v>499.90000000000003</v>
      </c>
      <c r="N463" s="33">
        <f t="shared" si="73"/>
        <v>449.91</v>
      </c>
      <c r="O463" s="31" t="str">
        <f t="shared" si="74"/>
        <v>May</v>
      </c>
      <c r="P463" s="33">
        <f t="shared" si="75"/>
        <v>-424.91500000000002</v>
      </c>
      <c r="Q463" s="33">
        <f t="shared" si="76"/>
        <v>0.94736842105263153</v>
      </c>
      <c r="R463" s="33">
        <f t="shared" si="77"/>
        <v>47.490500000000004</v>
      </c>
      <c r="S463" s="33" t="str">
        <f t="shared" si="78"/>
        <v>Large</v>
      </c>
      <c r="T463" s="33" t="str">
        <f t="shared" si="79"/>
        <v>High</v>
      </c>
    </row>
    <row r="464" spans="1:20" x14ac:dyDescent="0.3">
      <c r="A464" s="2" t="s">
        <v>817</v>
      </c>
      <c r="B464" s="2" t="s">
        <v>815</v>
      </c>
      <c r="C464" s="2" t="s">
        <v>41</v>
      </c>
      <c r="D464" s="2" t="s">
        <v>15</v>
      </c>
      <c r="E464" s="2" t="s">
        <v>93</v>
      </c>
      <c r="F464" s="2" t="s">
        <v>24</v>
      </c>
      <c r="G464" s="2">
        <v>22</v>
      </c>
      <c r="H464" s="3">
        <v>599</v>
      </c>
      <c r="I464" s="3">
        <f t="shared" si="70"/>
        <v>13178</v>
      </c>
      <c r="J464" s="4">
        <v>5</v>
      </c>
      <c r="K464" s="3">
        <f t="shared" si="71"/>
        <v>12519.099999999999</v>
      </c>
      <c r="L464" s="2" t="s">
        <v>18</v>
      </c>
      <c r="M464" s="31">
        <f t="shared" si="72"/>
        <v>13178</v>
      </c>
      <c r="N464" s="33">
        <f t="shared" si="73"/>
        <v>12579</v>
      </c>
      <c r="O464" s="31" t="str">
        <f t="shared" si="74"/>
        <v>May</v>
      </c>
      <c r="P464" s="33">
        <f t="shared" si="75"/>
        <v>-11920.099999999999</v>
      </c>
      <c r="Q464" s="33">
        <f t="shared" si="76"/>
        <v>1.0047846889952154</v>
      </c>
      <c r="R464" s="33">
        <f t="shared" si="77"/>
        <v>569.04999999999995</v>
      </c>
      <c r="S464" s="33" t="str">
        <f t="shared" si="78"/>
        <v>Large</v>
      </c>
      <c r="T464" s="33" t="str">
        <f t="shared" si="79"/>
        <v>Low</v>
      </c>
    </row>
    <row r="465" spans="1:20" x14ac:dyDescent="0.3">
      <c r="A465" s="5" t="s">
        <v>818</v>
      </c>
      <c r="B465" s="5" t="s">
        <v>815</v>
      </c>
      <c r="C465" s="5" t="s">
        <v>52</v>
      </c>
      <c r="D465" s="5" t="s">
        <v>33</v>
      </c>
      <c r="E465" s="5" t="s">
        <v>90</v>
      </c>
      <c r="F465" s="5" t="s">
        <v>24</v>
      </c>
      <c r="G465" s="5">
        <v>5</v>
      </c>
      <c r="H465" s="6">
        <v>149.99</v>
      </c>
      <c r="I465" s="6">
        <f t="shared" si="70"/>
        <v>749.95</v>
      </c>
      <c r="J465" s="7">
        <v>15</v>
      </c>
      <c r="K465" s="6">
        <f t="shared" si="71"/>
        <v>637.45749999999998</v>
      </c>
      <c r="L465" s="5" t="s">
        <v>18</v>
      </c>
      <c r="M465" s="31">
        <f t="shared" si="72"/>
        <v>749.95</v>
      </c>
      <c r="N465" s="33">
        <f t="shared" si="73"/>
        <v>599.96</v>
      </c>
      <c r="O465" s="31" t="str">
        <f t="shared" si="74"/>
        <v>May</v>
      </c>
      <c r="P465" s="33">
        <f t="shared" si="75"/>
        <v>-487.46749999999997</v>
      </c>
      <c r="Q465" s="33">
        <f t="shared" si="76"/>
        <v>0.94117647058823539</v>
      </c>
      <c r="R465" s="33">
        <f t="shared" si="77"/>
        <v>127.4915</v>
      </c>
      <c r="S465" s="33" t="str">
        <f t="shared" si="78"/>
        <v>Small</v>
      </c>
      <c r="T465" s="33" t="str">
        <f t="shared" si="79"/>
        <v>High</v>
      </c>
    </row>
    <row r="466" spans="1:20" x14ac:dyDescent="0.3">
      <c r="A466" s="2" t="s">
        <v>819</v>
      </c>
      <c r="B466" s="2" t="s">
        <v>820</v>
      </c>
      <c r="C466" s="2" t="s">
        <v>52</v>
      </c>
      <c r="D466" s="2" t="s">
        <v>33</v>
      </c>
      <c r="E466" s="2" t="s">
        <v>64</v>
      </c>
      <c r="F466" s="2" t="s">
        <v>24</v>
      </c>
      <c r="G466" s="2">
        <v>28</v>
      </c>
      <c r="H466" s="3">
        <v>1299</v>
      </c>
      <c r="I466" s="3">
        <f t="shared" si="70"/>
        <v>36372</v>
      </c>
      <c r="J466" s="4">
        <v>10</v>
      </c>
      <c r="K466" s="3">
        <f t="shared" si="71"/>
        <v>32734.799999999999</v>
      </c>
      <c r="L466" s="2" t="s">
        <v>18</v>
      </c>
      <c r="M466" s="31">
        <f t="shared" si="72"/>
        <v>36372</v>
      </c>
      <c r="N466" s="33">
        <f t="shared" si="73"/>
        <v>35073</v>
      </c>
      <c r="O466" s="31" t="str">
        <f t="shared" si="74"/>
        <v>May</v>
      </c>
      <c r="P466" s="33">
        <f t="shared" si="75"/>
        <v>-31435.8</v>
      </c>
      <c r="Q466" s="33">
        <f t="shared" si="76"/>
        <v>1.0714285714285714</v>
      </c>
      <c r="R466" s="33">
        <f t="shared" si="77"/>
        <v>1169.0999999999999</v>
      </c>
      <c r="S466" s="33" t="str">
        <f t="shared" si="78"/>
        <v>Large</v>
      </c>
      <c r="T466" s="33" t="str">
        <f t="shared" si="79"/>
        <v>Low</v>
      </c>
    </row>
    <row r="467" spans="1:20" x14ac:dyDescent="0.3">
      <c r="A467" s="5" t="s">
        <v>821</v>
      </c>
      <c r="B467" s="5" t="s">
        <v>820</v>
      </c>
      <c r="C467" s="5" t="s">
        <v>14</v>
      </c>
      <c r="D467" s="5" t="s">
        <v>15</v>
      </c>
      <c r="E467" s="5" t="s">
        <v>66</v>
      </c>
      <c r="F467" s="5" t="s">
        <v>17</v>
      </c>
      <c r="G467" s="5">
        <v>21</v>
      </c>
      <c r="H467" s="6">
        <v>549</v>
      </c>
      <c r="I467" s="6">
        <f t="shared" si="70"/>
        <v>11529</v>
      </c>
      <c r="J467" s="7">
        <v>0</v>
      </c>
      <c r="K467" s="6">
        <f t="shared" si="71"/>
        <v>11529</v>
      </c>
      <c r="L467" s="5" t="s">
        <v>18</v>
      </c>
      <c r="M467" s="31">
        <f t="shared" si="72"/>
        <v>11529</v>
      </c>
      <c r="N467" s="33">
        <f t="shared" si="73"/>
        <v>10980</v>
      </c>
      <c r="O467" s="31" t="str">
        <f t="shared" si="74"/>
        <v>May</v>
      </c>
      <c r="P467" s="33">
        <f t="shared" si="75"/>
        <v>-10980</v>
      </c>
      <c r="Q467" s="33">
        <f t="shared" si="76"/>
        <v>0.95238095238095233</v>
      </c>
      <c r="R467" s="33">
        <f t="shared" si="77"/>
        <v>549</v>
      </c>
      <c r="S467" s="33" t="str">
        <f t="shared" si="78"/>
        <v>Large</v>
      </c>
      <c r="T467" s="33" t="str">
        <f t="shared" si="79"/>
        <v>High</v>
      </c>
    </row>
    <row r="468" spans="1:20" x14ac:dyDescent="0.3">
      <c r="A468" s="11" t="s">
        <v>822</v>
      </c>
      <c r="B468" s="11" t="s">
        <v>820</v>
      </c>
      <c r="C468" s="11" t="s">
        <v>52</v>
      </c>
      <c r="D468" s="11" t="s">
        <v>33</v>
      </c>
      <c r="E468" s="11" t="s">
        <v>188</v>
      </c>
      <c r="F468" s="11" t="s">
        <v>17</v>
      </c>
      <c r="G468" s="11">
        <v>27</v>
      </c>
      <c r="H468" s="12">
        <v>39.99</v>
      </c>
      <c r="I468" s="12">
        <f t="shared" si="70"/>
        <v>1079.73</v>
      </c>
      <c r="J468" s="13">
        <v>15</v>
      </c>
      <c r="K468" s="12">
        <f t="shared" si="71"/>
        <v>917.77049999999997</v>
      </c>
      <c r="L468" s="11" t="s">
        <v>72</v>
      </c>
      <c r="M468" s="31">
        <f t="shared" si="72"/>
        <v>1079.73</v>
      </c>
      <c r="N468" s="33">
        <f t="shared" si="73"/>
        <v>1039.74</v>
      </c>
      <c r="O468" s="31" t="str">
        <f t="shared" si="74"/>
        <v>May</v>
      </c>
      <c r="P468" s="33">
        <f t="shared" si="75"/>
        <v>-877.78049999999996</v>
      </c>
      <c r="Q468" s="33">
        <f t="shared" si="76"/>
        <v>1.1328976034858389</v>
      </c>
      <c r="R468" s="33">
        <f t="shared" si="77"/>
        <v>33.991500000000002</v>
      </c>
      <c r="S468" s="33" t="str">
        <f t="shared" si="78"/>
        <v>Large</v>
      </c>
      <c r="T468" s="33" t="str">
        <f t="shared" si="79"/>
        <v>High</v>
      </c>
    </row>
    <row r="469" spans="1:20" x14ac:dyDescent="0.3">
      <c r="A469" s="5" t="s">
        <v>823</v>
      </c>
      <c r="B469" s="5" t="s">
        <v>824</v>
      </c>
      <c r="C469" s="5" t="s">
        <v>80</v>
      </c>
      <c r="D469" s="5" t="s">
        <v>22</v>
      </c>
      <c r="E469" s="5" t="s">
        <v>16</v>
      </c>
      <c r="F469" s="5" t="s">
        <v>17</v>
      </c>
      <c r="G469" s="5">
        <v>10</v>
      </c>
      <c r="H469" s="6">
        <v>129</v>
      </c>
      <c r="I469" s="6">
        <f t="shared" si="70"/>
        <v>1290</v>
      </c>
      <c r="J469" s="7">
        <v>0</v>
      </c>
      <c r="K469" s="6">
        <f t="shared" si="71"/>
        <v>1290</v>
      </c>
      <c r="L469" s="5" t="s">
        <v>18</v>
      </c>
      <c r="M469" s="31">
        <f t="shared" si="72"/>
        <v>1290</v>
      </c>
      <c r="N469" s="33">
        <f t="shared" si="73"/>
        <v>1161</v>
      </c>
      <c r="O469" s="31" t="str">
        <f t="shared" si="74"/>
        <v>May</v>
      </c>
      <c r="P469" s="33">
        <f t="shared" si="75"/>
        <v>-1161</v>
      </c>
      <c r="Q469" s="33">
        <f t="shared" si="76"/>
        <v>0.9</v>
      </c>
      <c r="R469" s="33">
        <f t="shared" si="77"/>
        <v>129</v>
      </c>
      <c r="S469" s="33" t="str">
        <f t="shared" si="78"/>
        <v>Large</v>
      </c>
      <c r="T469" s="33" t="str">
        <f t="shared" si="79"/>
        <v>Low</v>
      </c>
    </row>
    <row r="470" spans="1:20" x14ac:dyDescent="0.3">
      <c r="A470" s="2" t="s">
        <v>825</v>
      </c>
      <c r="B470" s="2" t="s">
        <v>826</v>
      </c>
      <c r="C470" s="2" t="s">
        <v>41</v>
      </c>
      <c r="D470" s="2" t="s">
        <v>15</v>
      </c>
      <c r="E470" s="2" t="s">
        <v>99</v>
      </c>
      <c r="F470" s="2" t="s">
        <v>30</v>
      </c>
      <c r="G470" s="2">
        <v>6</v>
      </c>
      <c r="H470" s="3">
        <v>89.99</v>
      </c>
      <c r="I470" s="3">
        <f t="shared" si="70"/>
        <v>539.93999999999994</v>
      </c>
      <c r="J470" s="4">
        <v>10</v>
      </c>
      <c r="K470" s="3">
        <f t="shared" si="71"/>
        <v>485.94599999999997</v>
      </c>
      <c r="L470" s="2" t="s">
        <v>18</v>
      </c>
      <c r="M470" s="31">
        <f t="shared" si="72"/>
        <v>539.93999999999994</v>
      </c>
      <c r="N470" s="33">
        <f t="shared" si="73"/>
        <v>449.94999999999993</v>
      </c>
      <c r="O470" s="31" t="str">
        <f t="shared" si="74"/>
        <v>May</v>
      </c>
      <c r="P470" s="33">
        <f t="shared" si="75"/>
        <v>-395.95599999999996</v>
      </c>
      <c r="Q470" s="33">
        <f t="shared" si="76"/>
        <v>0.92592592592592582</v>
      </c>
      <c r="R470" s="33">
        <f t="shared" si="77"/>
        <v>80.991</v>
      </c>
      <c r="S470" s="33" t="str">
        <f t="shared" si="78"/>
        <v>Small</v>
      </c>
      <c r="T470" s="33" t="str">
        <f t="shared" si="79"/>
        <v>High</v>
      </c>
    </row>
    <row r="471" spans="1:20" x14ac:dyDescent="0.3">
      <c r="A471" s="5" t="s">
        <v>827</v>
      </c>
      <c r="B471" s="5" t="s">
        <v>828</v>
      </c>
      <c r="C471" s="5" t="s">
        <v>41</v>
      </c>
      <c r="D471" s="5" t="s">
        <v>15</v>
      </c>
      <c r="E471" s="5" t="s">
        <v>82</v>
      </c>
      <c r="F471" s="5" t="s">
        <v>61</v>
      </c>
      <c r="G471" s="5">
        <v>18</v>
      </c>
      <c r="H471" s="6">
        <v>59.99</v>
      </c>
      <c r="I471" s="6">
        <f t="shared" si="70"/>
        <v>1079.82</v>
      </c>
      <c r="J471" s="7">
        <v>15</v>
      </c>
      <c r="K471" s="6">
        <f t="shared" si="71"/>
        <v>917.84699999999987</v>
      </c>
      <c r="L471" s="5" t="s">
        <v>18</v>
      </c>
      <c r="M471" s="31">
        <f t="shared" si="72"/>
        <v>1079.82</v>
      </c>
      <c r="N471" s="33">
        <f t="shared" si="73"/>
        <v>1019.8299999999999</v>
      </c>
      <c r="O471" s="31" t="str">
        <f t="shared" si="74"/>
        <v>May</v>
      </c>
      <c r="P471" s="33">
        <f t="shared" si="75"/>
        <v>-857.85699999999986</v>
      </c>
      <c r="Q471" s="33">
        <f t="shared" si="76"/>
        <v>1.1111111111111112</v>
      </c>
      <c r="R471" s="33">
        <f t="shared" si="77"/>
        <v>50.991499999999995</v>
      </c>
      <c r="S471" s="33" t="str">
        <f t="shared" si="78"/>
        <v>Large</v>
      </c>
      <c r="T471" s="33" t="str">
        <f t="shared" si="79"/>
        <v>Low</v>
      </c>
    </row>
    <row r="472" spans="1:20" x14ac:dyDescent="0.3">
      <c r="A472" s="2" t="s">
        <v>829</v>
      </c>
      <c r="B472" s="2" t="s">
        <v>830</v>
      </c>
      <c r="C472" s="2" t="s">
        <v>49</v>
      </c>
      <c r="D472" s="2" t="s">
        <v>38</v>
      </c>
      <c r="E472" s="2" t="s">
        <v>71</v>
      </c>
      <c r="F472" s="2" t="s">
        <v>24</v>
      </c>
      <c r="G472" s="2">
        <v>23</v>
      </c>
      <c r="H472" s="3">
        <v>249</v>
      </c>
      <c r="I472" s="3">
        <f t="shared" si="70"/>
        <v>5727</v>
      </c>
      <c r="J472" s="4">
        <v>10</v>
      </c>
      <c r="K472" s="3">
        <f t="shared" si="71"/>
        <v>5154.3</v>
      </c>
      <c r="L472" s="2" t="s">
        <v>18</v>
      </c>
      <c r="M472" s="31">
        <f t="shared" si="72"/>
        <v>5727</v>
      </c>
      <c r="N472" s="33">
        <f t="shared" si="73"/>
        <v>5478</v>
      </c>
      <c r="O472" s="31" t="str">
        <f t="shared" si="74"/>
        <v>May</v>
      </c>
      <c r="P472" s="33">
        <f t="shared" si="75"/>
        <v>-4905.3</v>
      </c>
      <c r="Q472" s="33">
        <f t="shared" si="76"/>
        <v>1.0628019323671498</v>
      </c>
      <c r="R472" s="33">
        <f t="shared" si="77"/>
        <v>224.1</v>
      </c>
      <c r="S472" s="33" t="str">
        <f t="shared" si="78"/>
        <v>Large</v>
      </c>
      <c r="T472" s="33" t="str">
        <f t="shared" si="79"/>
        <v>Low</v>
      </c>
    </row>
    <row r="473" spans="1:20" x14ac:dyDescent="0.3">
      <c r="A473" s="5" t="s">
        <v>831</v>
      </c>
      <c r="B473" s="5" t="s">
        <v>832</v>
      </c>
      <c r="C473" s="5" t="s">
        <v>55</v>
      </c>
      <c r="D473" s="5" t="s">
        <v>38</v>
      </c>
      <c r="E473" s="5" t="s">
        <v>90</v>
      </c>
      <c r="F473" s="5" t="s">
        <v>24</v>
      </c>
      <c r="G473" s="5">
        <v>11</v>
      </c>
      <c r="H473" s="6">
        <v>149.99</v>
      </c>
      <c r="I473" s="6">
        <f t="shared" si="70"/>
        <v>1649.89</v>
      </c>
      <c r="J473" s="7">
        <v>10</v>
      </c>
      <c r="K473" s="6">
        <f t="shared" si="71"/>
        <v>1484.9010000000001</v>
      </c>
      <c r="L473" s="5" t="s">
        <v>18</v>
      </c>
      <c r="M473" s="31">
        <f t="shared" si="72"/>
        <v>1649.89</v>
      </c>
      <c r="N473" s="33">
        <f t="shared" si="73"/>
        <v>1499.9</v>
      </c>
      <c r="O473" s="31" t="str">
        <f t="shared" si="74"/>
        <v>May</v>
      </c>
      <c r="P473" s="33">
        <f t="shared" si="75"/>
        <v>-1334.9110000000001</v>
      </c>
      <c r="Q473" s="33">
        <f t="shared" si="76"/>
        <v>1.0101010101010102</v>
      </c>
      <c r="R473" s="33">
        <f t="shared" si="77"/>
        <v>134.99100000000001</v>
      </c>
      <c r="S473" s="33" t="str">
        <f t="shared" si="78"/>
        <v>Large</v>
      </c>
      <c r="T473" s="33" t="str">
        <f t="shared" si="79"/>
        <v>High</v>
      </c>
    </row>
    <row r="474" spans="1:20" x14ac:dyDescent="0.3">
      <c r="A474" s="2" t="s">
        <v>833</v>
      </c>
      <c r="B474" s="2" t="s">
        <v>832</v>
      </c>
      <c r="C474" s="2" t="s">
        <v>55</v>
      </c>
      <c r="D474" s="2" t="s">
        <v>38</v>
      </c>
      <c r="E474" s="2" t="s">
        <v>144</v>
      </c>
      <c r="F474" s="2" t="s">
        <v>30</v>
      </c>
      <c r="G474" s="2">
        <v>9</v>
      </c>
      <c r="H474" s="3">
        <v>79.989999999999995</v>
      </c>
      <c r="I474" s="3">
        <f t="shared" si="70"/>
        <v>719.91</v>
      </c>
      <c r="J474" s="4">
        <v>5</v>
      </c>
      <c r="K474" s="3">
        <f t="shared" si="71"/>
        <v>683.91449999999998</v>
      </c>
      <c r="L474" s="2" t="s">
        <v>18</v>
      </c>
      <c r="M474" s="31">
        <f t="shared" si="72"/>
        <v>719.91</v>
      </c>
      <c r="N474" s="33">
        <f t="shared" si="73"/>
        <v>639.91999999999996</v>
      </c>
      <c r="O474" s="31" t="str">
        <f t="shared" si="74"/>
        <v>May</v>
      </c>
      <c r="P474" s="33">
        <f t="shared" si="75"/>
        <v>-603.92449999999997</v>
      </c>
      <c r="Q474" s="33">
        <f t="shared" si="76"/>
        <v>0.93567251461988299</v>
      </c>
      <c r="R474" s="33">
        <f t="shared" si="77"/>
        <v>75.990499999999997</v>
      </c>
      <c r="S474" s="33" t="str">
        <f t="shared" si="78"/>
        <v>Small</v>
      </c>
      <c r="T474" s="33" t="str">
        <f t="shared" si="79"/>
        <v>High</v>
      </c>
    </row>
    <row r="475" spans="1:20" x14ac:dyDescent="0.3">
      <c r="A475" s="5" t="s">
        <v>834</v>
      </c>
      <c r="B475" s="5" t="s">
        <v>835</v>
      </c>
      <c r="C475" s="5" t="s">
        <v>21</v>
      </c>
      <c r="D475" s="5" t="s">
        <v>22</v>
      </c>
      <c r="E475" s="5" t="s">
        <v>99</v>
      </c>
      <c r="F475" s="5" t="s">
        <v>30</v>
      </c>
      <c r="G475" s="5">
        <v>1</v>
      </c>
      <c r="H475" s="6">
        <v>89.99</v>
      </c>
      <c r="I475" s="6">
        <f t="shared" si="70"/>
        <v>89.99</v>
      </c>
      <c r="J475" s="7">
        <v>0</v>
      </c>
      <c r="K475" s="6">
        <f t="shared" si="71"/>
        <v>89.99</v>
      </c>
      <c r="L475" s="5" t="s">
        <v>18</v>
      </c>
      <c r="M475" s="31">
        <f t="shared" si="72"/>
        <v>89.99</v>
      </c>
      <c r="N475" s="33">
        <f t="shared" si="73"/>
        <v>0</v>
      </c>
      <c r="O475" s="31" t="str">
        <f t="shared" si="74"/>
        <v>May</v>
      </c>
      <c r="P475" s="33">
        <f t="shared" si="75"/>
        <v>0</v>
      </c>
      <c r="Q475" s="33">
        <f t="shared" si="76"/>
        <v>0</v>
      </c>
      <c r="R475" s="33">
        <f t="shared" si="77"/>
        <v>89.99</v>
      </c>
      <c r="S475" s="33" t="str">
        <f t="shared" si="78"/>
        <v>Small</v>
      </c>
      <c r="T475" s="33" t="str">
        <f t="shared" si="79"/>
        <v>Low</v>
      </c>
    </row>
    <row r="476" spans="1:20" x14ac:dyDescent="0.3">
      <c r="A476" s="11" t="s">
        <v>836</v>
      </c>
      <c r="B476" s="11" t="s">
        <v>837</v>
      </c>
      <c r="C476" s="11" t="s">
        <v>49</v>
      </c>
      <c r="D476" s="11" t="s">
        <v>38</v>
      </c>
      <c r="E476" s="11" t="s">
        <v>66</v>
      </c>
      <c r="F476" s="11" t="s">
        <v>17</v>
      </c>
      <c r="G476" s="11">
        <v>20</v>
      </c>
      <c r="H476" s="12">
        <v>549</v>
      </c>
      <c r="I476" s="12">
        <f t="shared" si="70"/>
        <v>10980</v>
      </c>
      <c r="J476" s="13">
        <v>0</v>
      </c>
      <c r="K476" s="12">
        <f t="shared" si="71"/>
        <v>10980</v>
      </c>
      <c r="L476" s="11" t="s">
        <v>72</v>
      </c>
      <c r="M476" s="31">
        <f t="shared" si="72"/>
        <v>10980</v>
      </c>
      <c r="N476" s="33">
        <f t="shared" si="73"/>
        <v>10431</v>
      </c>
      <c r="O476" s="31" t="str">
        <f t="shared" si="74"/>
        <v>May</v>
      </c>
      <c r="P476" s="33">
        <f t="shared" si="75"/>
        <v>-10431</v>
      </c>
      <c r="Q476" s="33">
        <f t="shared" si="76"/>
        <v>0.95</v>
      </c>
      <c r="R476" s="33">
        <f t="shared" si="77"/>
        <v>549</v>
      </c>
      <c r="S476" s="33" t="str">
        <f t="shared" si="78"/>
        <v>Large</v>
      </c>
      <c r="T476" s="33" t="str">
        <f t="shared" si="79"/>
        <v>Low</v>
      </c>
    </row>
    <row r="477" spans="1:20" x14ac:dyDescent="0.3">
      <c r="A477" s="5" t="s">
        <v>838</v>
      </c>
      <c r="B477" s="5" t="s">
        <v>837</v>
      </c>
      <c r="C477" s="5" t="s">
        <v>41</v>
      </c>
      <c r="D477" s="5" t="s">
        <v>15</v>
      </c>
      <c r="E477" s="5" t="s">
        <v>157</v>
      </c>
      <c r="F477" s="5" t="s">
        <v>17</v>
      </c>
      <c r="G477" s="5">
        <v>29</v>
      </c>
      <c r="H477" s="6">
        <v>449</v>
      </c>
      <c r="I477" s="6">
        <f t="shared" si="70"/>
        <v>13021</v>
      </c>
      <c r="J477" s="7">
        <v>5</v>
      </c>
      <c r="K477" s="6">
        <f t="shared" si="71"/>
        <v>12369.949999999999</v>
      </c>
      <c r="L477" s="5" t="s">
        <v>18</v>
      </c>
      <c r="M477" s="31">
        <f t="shared" si="72"/>
        <v>13021</v>
      </c>
      <c r="N477" s="33">
        <f t="shared" si="73"/>
        <v>12572</v>
      </c>
      <c r="O477" s="31" t="str">
        <f t="shared" si="74"/>
        <v>May</v>
      </c>
      <c r="P477" s="33">
        <f t="shared" si="75"/>
        <v>-11920.949999999999</v>
      </c>
      <c r="Q477" s="33">
        <f t="shared" si="76"/>
        <v>1.0163339382940111</v>
      </c>
      <c r="R477" s="33">
        <f t="shared" si="77"/>
        <v>426.54999999999995</v>
      </c>
      <c r="S477" s="33" t="str">
        <f t="shared" si="78"/>
        <v>Large</v>
      </c>
      <c r="T477" s="33" t="str">
        <f t="shared" si="79"/>
        <v>High</v>
      </c>
    </row>
    <row r="478" spans="1:20" x14ac:dyDescent="0.3">
      <c r="A478" s="11" t="s">
        <v>839</v>
      </c>
      <c r="B478" s="11" t="s">
        <v>840</v>
      </c>
      <c r="C478" s="11" t="s">
        <v>80</v>
      </c>
      <c r="D478" s="11" t="s">
        <v>22</v>
      </c>
      <c r="E478" s="11" t="s">
        <v>71</v>
      </c>
      <c r="F478" s="11" t="s">
        <v>24</v>
      </c>
      <c r="G478" s="11">
        <v>17</v>
      </c>
      <c r="H478" s="12">
        <v>249</v>
      </c>
      <c r="I478" s="12">
        <f t="shared" si="70"/>
        <v>4233</v>
      </c>
      <c r="J478" s="13">
        <v>8</v>
      </c>
      <c r="K478" s="12">
        <f t="shared" si="71"/>
        <v>3894.36</v>
      </c>
      <c r="L478" s="11" t="s">
        <v>72</v>
      </c>
      <c r="M478" s="31">
        <f t="shared" si="72"/>
        <v>4233</v>
      </c>
      <c r="N478" s="33">
        <f t="shared" si="73"/>
        <v>3984</v>
      </c>
      <c r="O478" s="31" t="str">
        <f t="shared" si="74"/>
        <v>May</v>
      </c>
      <c r="P478" s="33">
        <f t="shared" si="75"/>
        <v>-3645.36</v>
      </c>
      <c r="Q478" s="33">
        <f t="shared" si="76"/>
        <v>1.0230179028132993</v>
      </c>
      <c r="R478" s="33">
        <f t="shared" si="77"/>
        <v>229.08</v>
      </c>
      <c r="S478" s="33" t="str">
        <f t="shared" si="78"/>
        <v>Large</v>
      </c>
      <c r="T478" s="33" t="str">
        <f t="shared" si="79"/>
        <v>High</v>
      </c>
    </row>
    <row r="479" spans="1:20" x14ac:dyDescent="0.3">
      <c r="A479" s="8" t="s">
        <v>841</v>
      </c>
      <c r="B479" s="8" t="s">
        <v>840</v>
      </c>
      <c r="C479" s="8" t="s">
        <v>41</v>
      </c>
      <c r="D479" s="8" t="s">
        <v>15</v>
      </c>
      <c r="E479" s="8" t="s">
        <v>93</v>
      </c>
      <c r="F479" s="8" t="s">
        <v>24</v>
      </c>
      <c r="G479" s="8">
        <v>21</v>
      </c>
      <c r="H479" s="9">
        <v>599</v>
      </c>
      <c r="I479" s="9">
        <f t="shared" si="70"/>
        <v>12579</v>
      </c>
      <c r="J479" s="10">
        <v>0</v>
      </c>
      <c r="K479" s="9">
        <f t="shared" si="71"/>
        <v>12579</v>
      </c>
      <c r="L479" s="8" t="s">
        <v>72</v>
      </c>
      <c r="M479" s="31">
        <f t="shared" si="72"/>
        <v>12579</v>
      </c>
      <c r="N479" s="33">
        <f t="shared" si="73"/>
        <v>11980</v>
      </c>
      <c r="O479" s="31" t="str">
        <f t="shared" si="74"/>
        <v>May</v>
      </c>
      <c r="P479" s="33">
        <f t="shared" si="75"/>
        <v>-11980</v>
      </c>
      <c r="Q479" s="33">
        <f t="shared" si="76"/>
        <v>0.95238095238095233</v>
      </c>
      <c r="R479" s="33">
        <f t="shared" si="77"/>
        <v>599</v>
      </c>
      <c r="S479" s="33" t="str">
        <f t="shared" si="78"/>
        <v>Large</v>
      </c>
      <c r="T479" s="33" t="str">
        <f t="shared" si="79"/>
        <v>High</v>
      </c>
    </row>
    <row r="480" spans="1:20" x14ac:dyDescent="0.3">
      <c r="A480" s="2" t="s">
        <v>842</v>
      </c>
      <c r="B480" s="2" t="s">
        <v>840</v>
      </c>
      <c r="C480" s="2" t="s">
        <v>52</v>
      </c>
      <c r="D480" s="2" t="s">
        <v>33</v>
      </c>
      <c r="E480" s="2" t="s">
        <v>71</v>
      </c>
      <c r="F480" s="2" t="s">
        <v>24</v>
      </c>
      <c r="G480" s="2">
        <v>25</v>
      </c>
      <c r="H480" s="3">
        <v>249</v>
      </c>
      <c r="I480" s="3">
        <f t="shared" si="70"/>
        <v>6225</v>
      </c>
      <c r="J480" s="4">
        <v>0</v>
      </c>
      <c r="K480" s="3">
        <f t="shared" si="71"/>
        <v>6225</v>
      </c>
      <c r="L480" s="2" t="s">
        <v>18</v>
      </c>
      <c r="M480" s="31">
        <f t="shared" si="72"/>
        <v>6225</v>
      </c>
      <c r="N480" s="33">
        <f t="shared" si="73"/>
        <v>5976</v>
      </c>
      <c r="O480" s="31" t="str">
        <f t="shared" si="74"/>
        <v>May</v>
      </c>
      <c r="P480" s="33">
        <f t="shared" si="75"/>
        <v>-5976</v>
      </c>
      <c r="Q480" s="33">
        <f t="shared" si="76"/>
        <v>0.96</v>
      </c>
      <c r="R480" s="33">
        <f t="shared" si="77"/>
        <v>249</v>
      </c>
      <c r="S480" s="33" t="str">
        <f t="shared" si="78"/>
        <v>Large</v>
      </c>
      <c r="T480" s="33" t="str">
        <f t="shared" si="79"/>
        <v>High</v>
      </c>
    </row>
    <row r="481" spans="1:20" x14ac:dyDescent="0.3">
      <c r="A481" s="5" t="s">
        <v>843</v>
      </c>
      <c r="B481" s="5" t="s">
        <v>844</v>
      </c>
      <c r="C481" s="5" t="s">
        <v>49</v>
      </c>
      <c r="D481" s="5" t="s">
        <v>38</v>
      </c>
      <c r="E481" s="5" t="s">
        <v>87</v>
      </c>
      <c r="F481" s="5" t="s">
        <v>61</v>
      </c>
      <c r="G481" s="5">
        <v>11</v>
      </c>
      <c r="H481" s="6">
        <v>299</v>
      </c>
      <c r="I481" s="6">
        <f t="shared" si="70"/>
        <v>3289</v>
      </c>
      <c r="J481" s="7">
        <v>5</v>
      </c>
      <c r="K481" s="6">
        <f t="shared" si="71"/>
        <v>3124.5499999999997</v>
      </c>
      <c r="L481" s="5" t="s">
        <v>18</v>
      </c>
      <c r="M481" s="31">
        <f t="shared" si="72"/>
        <v>3289</v>
      </c>
      <c r="N481" s="33">
        <f t="shared" si="73"/>
        <v>2990</v>
      </c>
      <c r="O481" s="31" t="str">
        <f t="shared" si="74"/>
        <v>May</v>
      </c>
      <c r="P481" s="33">
        <f t="shared" si="75"/>
        <v>-2825.5499999999997</v>
      </c>
      <c r="Q481" s="33">
        <f t="shared" si="76"/>
        <v>0.95693779904306231</v>
      </c>
      <c r="R481" s="33">
        <f t="shared" si="77"/>
        <v>284.04999999999995</v>
      </c>
      <c r="S481" s="33" t="str">
        <f t="shared" si="78"/>
        <v>Large</v>
      </c>
      <c r="T481" s="33" t="str">
        <f t="shared" si="79"/>
        <v>High</v>
      </c>
    </row>
    <row r="482" spans="1:20" x14ac:dyDescent="0.3">
      <c r="A482" s="2" t="s">
        <v>845</v>
      </c>
      <c r="B482" s="2" t="s">
        <v>844</v>
      </c>
      <c r="C482" s="2" t="s">
        <v>80</v>
      </c>
      <c r="D482" s="2" t="s">
        <v>22</v>
      </c>
      <c r="E482" s="2" t="s">
        <v>87</v>
      </c>
      <c r="F482" s="2" t="s">
        <v>61</v>
      </c>
      <c r="G482" s="2">
        <v>6</v>
      </c>
      <c r="H482" s="3">
        <v>299</v>
      </c>
      <c r="I482" s="3">
        <f t="shared" si="70"/>
        <v>1794</v>
      </c>
      <c r="J482" s="4">
        <v>0</v>
      </c>
      <c r="K482" s="3">
        <f t="shared" si="71"/>
        <v>1794</v>
      </c>
      <c r="L482" s="2" t="s">
        <v>18</v>
      </c>
      <c r="M482" s="31">
        <f t="shared" si="72"/>
        <v>1794</v>
      </c>
      <c r="N482" s="33">
        <f t="shared" si="73"/>
        <v>1495</v>
      </c>
      <c r="O482" s="31" t="str">
        <f t="shared" si="74"/>
        <v>May</v>
      </c>
      <c r="P482" s="33">
        <f t="shared" si="75"/>
        <v>-1495</v>
      </c>
      <c r="Q482" s="33">
        <f t="shared" si="76"/>
        <v>0.83333333333333337</v>
      </c>
      <c r="R482" s="33">
        <f t="shared" si="77"/>
        <v>299</v>
      </c>
      <c r="S482" s="33" t="str">
        <f t="shared" si="78"/>
        <v>Small</v>
      </c>
      <c r="T482" s="33" t="str">
        <f t="shared" si="79"/>
        <v>High</v>
      </c>
    </row>
    <row r="483" spans="1:20" x14ac:dyDescent="0.3">
      <c r="A483" s="14" t="s">
        <v>846</v>
      </c>
      <c r="B483" s="14" t="s">
        <v>847</v>
      </c>
      <c r="C483" s="14" t="s">
        <v>80</v>
      </c>
      <c r="D483" s="14" t="s">
        <v>22</v>
      </c>
      <c r="E483" s="14" t="s">
        <v>103</v>
      </c>
      <c r="F483" s="14" t="s">
        <v>61</v>
      </c>
      <c r="G483" s="14">
        <v>29</v>
      </c>
      <c r="H483" s="15">
        <v>99</v>
      </c>
      <c r="I483" s="15">
        <f t="shared" si="70"/>
        <v>2871</v>
      </c>
      <c r="J483" s="16">
        <v>5</v>
      </c>
      <c r="K483" s="15">
        <f t="shared" si="71"/>
        <v>2727.45</v>
      </c>
      <c r="L483" s="14" t="s">
        <v>132</v>
      </c>
      <c r="M483" s="31">
        <f t="shared" si="72"/>
        <v>2871</v>
      </c>
      <c r="N483" s="33">
        <f t="shared" si="73"/>
        <v>2772</v>
      </c>
      <c r="O483" s="31" t="str">
        <f t="shared" si="74"/>
        <v>May</v>
      </c>
      <c r="P483" s="33">
        <f t="shared" si="75"/>
        <v>-2628.45</v>
      </c>
      <c r="Q483" s="33">
        <f t="shared" si="76"/>
        <v>1.0163339382940109</v>
      </c>
      <c r="R483" s="33">
        <f t="shared" si="77"/>
        <v>94.05</v>
      </c>
      <c r="S483" s="33" t="str">
        <f t="shared" si="78"/>
        <v>Large</v>
      </c>
      <c r="T483" s="33" t="str">
        <f t="shared" si="79"/>
        <v>High</v>
      </c>
    </row>
    <row r="484" spans="1:20" x14ac:dyDescent="0.3">
      <c r="A484" s="2" t="s">
        <v>848</v>
      </c>
      <c r="B484" s="2" t="s">
        <v>847</v>
      </c>
      <c r="C484" s="2" t="s">
        <v>14</v>
      </c>
      <c r="D484" s="2" t="s">
        <v>15</v>
      </c>
      <c r="E484" s="2" t="s">
        <v>34</v>
      </c>
      <c r="F484" s="2" t="s">
        <v>30</v>
      </c>
      <c r="G484" s="2">
        <v>18</v>
      </c>
      <c r="H484" s="3">
        <v>19.989999999999998</v>
      </c>
      <c r="I484" s="3">
        <f t="shared" si="70"/>
        <v>359.82</v>
      </c>
      <c r="J484" s="4">
        <v>5</v>
      </c>
      <c r="K484" s="3">
        <f t="shared" si="71"/>
        <v>341.82899999999995</v>
      </c>
      <c r="L484" s="2" t="s">
        <v>18</v>
      </c>
      <c r="M484" s="31">
        <f t="shared" si="72"/>
        <v>359.82</v>
      </c>
      <c r="N484" s="33">
        <f t="shared" si="73"/>
        <v>339.83</v>
      </c>
      <c r="O484" s="31" t="str">
        <f t="shared" si="74"/>
        <v>May</v>
      </c>
      <c r="P484" s="33">
        <f t="shared" si="75"/>
        <v>-321.83899999999994</v>
      </c>
      <c r="Q484" s="33">
        <f t="shared" si="76"/>
        <v>0.99415204678362579</v>
      </c>
      <c r="R484" s="33">
        <f t="shared" si="77"/>
        <v>18.990499999999997</v>
      </c>
      <c r="S484" s="33" t="str">
        <f t="shared" si="78"/>
        <v>Large</v>
      </c>
      <c r="T484" s="33" t="str">
        <f t="shared" si="79"/>
        <v>High</v>
      </c>
    </row>
    <row r="485" spans="1:20" x14ac:dyDescent="0.3">
      <c r="A485" s="5" t="s">
        <v>849</v>
      </c>
      <c r="B485" s="5" t="s">
        <v>850</v>
      </c>
      <c r="C485" s="5" t="s">
        <v>32</v>
      </c>
      <c r="D485" s="5" t="s">
        <v>33</v>
      </c>
      <c r="E485" s="5" t="s">
        <v>46</v>
      </c>
      <c r="F485" s="5" t="s">
        <v>30</v>
      </c>
      <c r="G485" s="5">
        <v>20</v>
      </c>
      <c r="H485" s="6">
        <v>59.99</v>
      </c>
      <c r="I485" s="6">
        <f t="shared" si="70"/>
        <v>1199.8</v>
      </c>
      <c r="J485" s="7">
        <v>12</v>
      </c>
      <c r="K485" s="6">
        <f t="shared" si="71"/>
        <v>1055.8240000000001</v>
      </c>
      <c r="L485" s="5" t="s">
        <v>18</v>
      </c>
      <c r="M485" s="31">
        <f t="shared" si="72"/>
        <v>1199.8</v>
      </c>
      <c r="N485" s="33">
        <f t="shared" si="73"/>
        <v>1139.81</v>
      </c>
      <c r="O485" s="31" t="str">
        <f t="shared" si="74"/>
        <v>May</v>
      </c>
      <c r="P485" s="33">
        <f t="shared" si="75"/>
        <v>-995.83400000000006</v>
      </c>
      <c r="Q485" s="33">
        <f t="shared" si="76"/>
        <v>1.0795454545454544</v>
      </c>
      <c r="R485" s="33">
        <f t="shared" si="77"/>
        <v>52.791200000000003</v>
      </c>
      <c r="S485" s="33" t="str">
        <f t="shared" si="78"/>
        <v>Large</v>
      </c>
      <c r="T485" s="33" t="str">
        <f t="shared" si="79"/>
        <v>Low</v>
      </c>
    </row>
    <row r="486" spans="1:20" x14ac:dyDescent="0.3">
      <c r="A486" s="2" t="s">
        <v>851</v>
      </c>
      <c r="B486" s="2" t="s">
        <v>852</v>
      </c>
      <c r="C486" s="2" t="s">
        <v>52</v>
      </c>
      <c r="D486" s="2" t="s">
        <v>33</v>
      </c>
      <c r="E486" s="2" t="s">
        <v>23</v>
      </c>
      <c r="F486" s="2" t="s">
        <v>24</v>
      </c>
      <c r="G486" s="2">
        <v>2</v>
      </c>
      <c r="H486" s="3">
        <v>999</v>
      </c>
      <c r="I486" s="3">
        <f t="shared" si="70"/>
        <v>1998</v>
      </c>
      <c r="J486" s="4">
        <v>12</v>
      </c>
      <c r="K486" s="3">
        <f t="shared" si="71"/>
        <v>1758.24</v>
      </c>
      <c r="L486" s="2" t="s">
        <v>18</v>
      </c>
      <c r="M486" s="31">
        <f t="shared" si="72"/>
        <v>1998</v>
      </c>
      <c r="N486" s="33">
        <f t="shared" si="73"/>
        <v>999</v>
      </c>
      <c r="O486" s="31" t="str">
        <f t="shared" si="74"/>
        <v>May</v>
      </c>
      <c r="P486" s="33">
        <f t="shared" si="75"/>
        <v>-759.24</v>
      </c>
      <c r="Q486" s="33">
        <f t="shared" si="76"/>
        <v>0.56818181818181823</v>
      </c>
      <c r="R486" s="33">
        <f t="shared" si="77"/>
        <v>879.12</v>
      </c>
      <c r="S486" s="33" t="str">
        <f t="shared" si="78"/>
        <v>Small</v>
      </c>
      <c r="T486" s="33" t="str">
        <f t="shared" si="79"/>
        <v>High</v>
      </c>
    </row>
    <row r="487" spans="1:20" x14ac:dyDescent="0.3">
      <c r="A487" s="5" t="s">
        <v>853</v>
      </c>
      <c r="B487" s="5" t="s">
        <v>852</v>
      </c>
      <c r="C487" s="5" t="s">
        <v>14</v>
      </c>
      <c r="D487" s="5" t="s">
        <v>15</v>
      </c>
      <c r="E487" s="5" t="s">
        <v>157</v>
      </c>
      <c r="F487" s="5" t="s">
        <v>17</v>
      </c>
      <c r="G487" s="5">
        <v>2</v>
      </c>
      <c r="H487" s="6">
        <v>449</v>
      </c>
      <c r="I487" s="6">
        <f t="shared" si="70"/>
        <v>898</v>
      </c>
      <c r="J487" s="7">
        <v>0</v>
      </c>
      <c r="K487" s="6">
        <f t="shared" si="71"/>
        <v>898</v>
      </c>
      <c r="L487" s="5" t="s">
        <v>18</v>
      </c>
      <c r="M487" s="31">
        <f t="shared" si="72"/>
        <v>898</v>
      </c>
      <c r="N487" s="33">
        <f t="shared" si="73"/>
        <v>449</v>
      </c>
      <c r="O487" s="31" t="str">
        <f t="shared" si="74"/>
        <v>May</v>
      </c>
      <c r="P487" s="33">
        <f t="shared" si="75"/>
        <v>-449</v>
      </c>
      <c r="Q487" s="33">
        <f t="shared" si="76"/>
        <v>0.5</v>
      </c>
      <c r="R487" s="33">
        <f t="shared" si="77"/>
        <v>449</v>
      </c>
      <c r="S487" s="33" t="str">
        <f t="shared" si="78"/>
        <v>Small</v>
      </c>
      <c r="T487" s="33" t="str">
        <f t="shared" si="79"/>
        <v>High</v>
      </c>
    </row>
    <row r="488" spans="1:20" x14ac:dyDescent="0.3">
      <c r="A488" s="11" t="s">
        <v>854</v>
      </c>
      <c r="B488" s="11" t="s">
        <v>852</v>
      </c>
      <c r="C488" s="11" t="s">
        <v>37</v>
      </c>
      <c r="D488" s="11" t="s">
        <v>38</v>
      </c>
      <c r="E488" s="11" t="s">
        <v>141</v>
      </c>
      <c r="F488" s="11" t="s">
        <v>17</v>
      </c>
      <c r="G488" s="11">
        <v>18</v>
      </c>
      <c r="H488" s="12">
        <v>169</v>
      </c>
      <c r="I488" s="12">
        <f t="shared" si="70"/>
        <v>3042</v>
      </c>
      <c r="J488" s="13">
        <v>0</v>
      </c>
      <c r="K488" s="12">
        <f t="shared" si="71"/>
        <v>3042</v>
      </c>
      <c r="L488" s="11" t="s">
        <v>72</v>
      </c>
      <c r="M488" s="31">
        <f t="shared" si="72"/>
        <v>3042</v>
      </c>
      <c r="N488" s="33">
        <f t="shared" si="73"/>
        <v>2873</v>
      </c>
      <c r="O488" s="31" t="str">
        <f t="shared" si="74"/>
        <v>May</v>
      </c>
      <c r="P488" s="33">
        <f t="shared" si="75"/>
        <v>-2873</v>
      </c>
      <c r="Q488" s="33">
        <f t="shared" si="76"/>
        <v>0.94444444444444442</v>
      </c>
      <c r="R488" s="33">
        <f t="shared" si="77"/>
        <v>169</v>
      </c>
      <c r="S488" s="33" t="str">
        <f t="shared" si="78"/>
        <v>Large</v>
      </c>
      <c r="T488" s="33" t="str">
        <f t="shared" si="79"/>
        <v>Low</v>
      </c>
    </row>
    <row r="489" spans="1:20" x14ac:dyDescent="0.3">
      <c r="A489" s="5" t="s">
        <v>855</v>
      </c>
      <c r="B489" s="5" t="s">
        <v>856</v>
      </c>
      <c r="C489" s="5" t="s">
        <v>52</v>
      </c>
      <c r="D489" s="5" t="s">
        <v>33</v>
      </c>
      <c r="E489" s="5" t="s">
        <v>71</v>
      </c>
      <c r="F489" s="5" t="s">
        <v>24</v>
      </c>
      <c r="G489" s="5">
        <v>22</v>
      </c>
      <c r="H489" s="6">
        <v>249</v>
      </c>
      <c r="I489" s="6">
        <f t="shared" si="70"/>
        <v>5478</v>
      </c>
      <c r="J489" s="7">
        <v>5</v>
      </c>
      <c r="K489" s="6">
        <f t="shared" si="71"/>
        <v>5204.0999999999995</v>
      </c>
      <c r="L489" s="5" t="s">
        <v>18</v>
      </c>
      <c r="M489" s="31">
        <f t="shared" si="72"/>
        <v>5478</v>
      </c>
      <c r="N489" s="33">
        <f t="shared" si="73"/>
        <v>5229</v>
      </c>
      <c r="O489" s="31" t="str">
        <f t="shared" si="74"/>
        <v>June</v>
      </c>
      <c r="P489" s="33">
        <f t="shared" si="75"/>
        <v>-4955.0999999999995</v>
      </c>
      <c r="Q489" s="33">
        <f t="shared" si="76"/>
        <v>1.0047846889952154</v>
      </c>
      <c r="R489" s="33">
        <f t="shared" si="77"/>
        <v>236.54999999999998</v>
      </c>
      <c r="S489" s="33" t="str">
        <f t="shared" si="78"/>
        <v>Large</v>
      </c>
      <c r="T489" s="33" t="str">
        <f t="shared" si="79"/>
        <v>High</v>
      </c>
    </row>
    <row r="490" spans="1:20" x14ac:dyDescent="0.3">
      <c r="A490" s="2" t="s">
        <v>857</v>
      </c>
      <c r="B490" s="2" t="s">
        <v>856</v>
      </c>
      <c r="C490" s="2" t="s">
        <v>49</v>
      </c>
      <c r="D490" s="2" t="s">
        <v>38</v>
      </c>
      <c r="E490" s="2" t="s">
        <v>188</v>
      </c>
      <c r="F490" s="2" t="s">
        <v>17</v>
      </c>
      <c r="G490" s="2">
        <v>10</v>
      </c>
      <c r="H490" s="3">
        <v>39.99</v>
      </c>
      <c r="I490" s="3">
        <f t="shared" si="70"/>
        <v>399.90000000000003</v>
      </c>
      <c r="J490" s="4">
        <v>12</v>
      </c>
      <c r="K490" s="3">
        <f t="shared" si="71"/>
        <v>351.91200000000003</v>
      </c>
      <c r="L490" s="2" t="s">
        <v>18</v>
      </c>
      <c r="M490" s="31">
        <f t="shared" si="72"/>
        <v>399.90000000000003</v>
      </c>
      <c r="N490" s="33">
        <f t="shared" si="73"/>
        <v>359.91</v>
      </c>
      <c r="O490" s="31" t="str">
        <f t="shared" si="74"/>
        <v>June</v>
      </c>
      <c r="P490" s="33">
        <f t="shared" si="75"/>
        <v>-311.92200000000003</v>
      </c>
      <c r="Q490" s="33">
        <f t="shared" si="76"/>
        <v>1.0227272727272727</v>
      </c>
      <c r="R490" s="33">
        <f t="shared" si="77"/>
        <v>35.191200000000002</v>
      </c>
      <c r="S490" s="33" t="str">
        <f t="shared" si="78"/>
        <v>Large</v>
      </c>
      <c r="T490" s="33" t="str">
        <f t="shared" si="79"/>
        <v>High</v>
      </c>
    </row>
    <row r="491" spans="1:20" x14ac:dyDescent="0.3">
      <c r="A491" s="5" t="s">
        <v>858</v>
      </c>
      <c r="B491" s="5" t="s">
        <v>856</v>
      </c>
      <c r="C491" s="5" t="s">
        <v>49</v>
      </c>
      <c r="D491" s="5" t="s">
        <v>38</v>
      </c>
      <c r="E491" s="5" t="s">
        <v>93</v>
      </c>
      <c r="F491" s="5" t="s">
        <v>24</v>
      </c>
      <c r="G491" s="5">
        <v>2</v>
      </c>
      <c r="H491" s="6">
        <v>599</v>
      </c>
      <c r="I491" s="6">
        <f t="shared" si="70"/>
        <v>1198</v>
      </c>
      <c r="J491" s="7">
        <v>15</v>
      </c>
      <c r="K491" s="6">
        <f t="shared" si="71"/>
        <v>1018.3</v>
      </c>
      <c r="L491" s="5" t="s">
        <v>18</v>
      </c>
      <c r="M491" s="31">
        <f t="shared" si="72"/>
        <v>1198</v>
      </c>
      <c r="N491" s="33">
        <f t="shared" si="73"/>
        <v>599</v>
      </c>
      <c r="O491" s="31" t="str">
        <f t="shared" si="74"/>
        <v>June</v>
      </c>
      <c r="P491" s="33">
        <f t="shared" si="75"/>
        <v>-419.29999999999995</v>
      </c>
      <c r="Q491" s="33">
        <f t="shared" si="76"/>
        <v>0.58823529411764708</v>
      </c>
      <c r="R491" s="33">
        <f t="shared" si="77"/>
        <v>509.15</v>
      </c>
      <c r="S491" s="33" t="str">
        <f t="shared" si="78"/>
        <v>Small</v>
      </c>
      <c r="T491" s="33" t="str">
        <f t="shared" si="79"/>
        <v>Low</v>
      </c>
    </row>
    <row r="492" spans="1:20" x14ac:dyDescent="0.3">
      <c r="A492" s="2" t="s">
        <v>859</v>
      </c>
      <c r="B492" s="2" t="s">
        <v>860</v>
      </c>
      <c r="C492" s="2" t="s">
        <v>55</v>
      </c>
      <c r="D492" s="2" t="s">
        <v>38</v>
      </c>
      <c r="E492" s="2" t="s">
        <v>103</v>
      </c>
      <c r="F492" s="2" t="s">
        <v>61</v>
      </c>
      <c r="G492" s="2">
        <v>29</v>
      </c>
      <c r="H492" s="3">
        <v>99</v>
      </c>
      <c r="I492" s="3">
        <f t="shared" si="70"/>
        <v>2871</v>
      </c>
      <c r="J492" s="4">
        <v>5</v>
      </c>
      <c r="K492" s="3">
        <f t="shared" si="71"/>
        <v>2727.45</v>
      </c>
      <c r="L492" s="2" t="s">
        <v>18</v>
      </c>
      <c r="M492" s="31">
        <f t="shared" si="72"/>
        <v>2871</v>
      </c>
      <c r="N492" s="33">
        <f t="shared" si="73"/>
        <v>2772</v>
      </c>
      <c r="O492" s="31" t="str">
        <f t="shared" si="74"/>
        <v>June</v>
      </c>
      <c r="P492" s="33">
        <f t="shared" si="75"/>
        <v>-2628.45</v>
      </c>
      <c r="Q492" s="33">
        <f t="shared" si="76"/>
        <v>1.0163339382940109</v>
      </c>
      <c r="R492" s="33">
        <f t="shared" si="77"/>
        <v>94.05</v>
      </c>
      <c r="S492" s="33" t="str">
        <f t="shared" si="78"/>
        <v>Large</v>
      </c>
      <c r="T492" s="33" t="str">
        <f t="shared" si="79"/>
        <v>High</v>
      </c>
    </row>
    <row r="493" spans="1:20" x14ac:dyDescent="0.3">
      <c r="A493" s="5" t="s">
        <v>861</v>
      </c>
      <c r="B493" s="5" t="s">
        <v>860</v>
      </c>
      <c r="C493" s="5" t="s">
        <v>49</v>
      </c>
      <c r="D493" s="5" t="s">
        <v>38</v>
      </c>
      <c r="E493" s="5" t="s">
        <v>74</v>
      </c>
      <c r="F493" s="5" t="s">
        <v>30</v>
      </c>
      <c r="G493" s="5">
        <v>12</v>
      </c>
      <c r="H493" s="6">
        <v>49.99</v>
      </c>
      <c r="I493" s="6">
        <f t="shared" si="70"/>
        <v>599.88</v>
      </c>
      <c r="J493" s="7">
        <v>0</v>
      </c>
      <c r="K493" s="6">
        <f t="shared" si="71"/>
        <v>599.88</v>
      </c>
      <c r="L493" s="5" t="s">
        <v>18</v>
      </c>
      <c r="M493" s="31">
        <f t="shared" si="72"/>
        <v>599.88</v>
      </c>
      <c r="N493" s="33">
        <f t="shared" si="73"/>
        <v>549.89</v>
      </c>
      <c r="O493" s="31" t="str">
        <f t="shared" si="74"/>
        <v>June</v>
      </c>
      <c r="P493" s="33">
        <f t="shared" si="75"/>
        <v>-549.89</v>
      </c>
      <c r="Q493" s="33">
        <f t="shared" si="76"/>
        <v>0.91666666666666663</v>
      </c>
      <c r="R493" s="33">
        <f t="shared" si="77"/>
        <v>49.99</v>
      </c>
      <c r="S493" s="33" t="str">
        <f t="shared" si="78"/>
        <v>Large</v>
      </c>
      <c r="T493" s="33" t="str">
        <f t="shared" si="79"/>
        <v>High</v>
      </c>
    </row>
    <row r="494" spans="1:20" x14ac:dyDescent="0.3">
      <c r="A494" s="2" t="s">
        <v>862</v>
      </c>
      <c r="B494" s="2" t="s">
        <v>860</v>
      </c>
      <c r="C494" s="2" t="s">
        <v>52</v>
      </c>
      <c r="D494" s="2" t="s">
        <v>33</v>
      </c>
      <c r="E494" s="2" t="s">
        <v>74</v>
      </c>
      <c r="F494" s="2" t="s">
        <v>30</v>
      </c>
      <c r="G494" s="2">
        <v>3</v>
      </c>
      <c r="H494" s="3">
        <v>49.99</v>
      </c>
      <c r="I494" s="3">
        <f t="shared" si="70"/>
        <v>149.97</v>
      </c>
      <c r="J494" s="4">
        <v>0</v>
      </c>
      <c r="K494" s="3">
        <f t="shared" si="71"/>
        <v>149.97</v>
      </c>
      <c r="L494" s="2" t="s">
        <v>18</v>
      </c>
      <c r="M494" s="31">
        <f t="shared" si="72"/>
        <v>149.97</v>
      </c>
      <c r="N494" s="33">
        <f t="shared" si="73"/>
        <v>99.97999999999999</v>
      </c>
      <c r="O494" s="31" t="str">
        <f t="shared" si="74"/>
        <v>June</v>
      </c>
      <c r="P494" s="33">
        <f t="shared" si="75"/>
        <v>-99.97999999999999</v>
      </c>
      <c r="Q494" s="33">
        <f t="shared" si="76"/>
        <v>0.66666666666666663</v>
      </c>
      <c r="R494" s="33">
        <f t="shared" si="77"/>
        <v>49.99</v>
      </c>
      <c r="S494" s="33" t="str">
        <f t="shared" si="78"/>
        <v>Small</v>
      </c>
      <c r="T494" s="33" t="str">
        <f t="shared" si="79"/>
        <v>Low</v>
      </c>
    </row>
    <row r="495" spans="1:20" x14ac:dyDescent="0.3">
      <c r="A495" s="5" t="s">
        <v>863</v>
      </c>
      <c r="B495" s="5" t="s">
        <v>860</v>
      </c>
      <c r="C495" s="5" t="s">
        <v>55</v>
      </c>
      <c r="D495" s="5" t="s">
        <v>38</v>
      </c>
      <c r="E495" s="5" t="s">
        <v>188</v>
      </c>
      <c r="F495" s="5" t="s">
        <v>17</v>
      </c>
      <c r="G495" s="5">
        <v>12</v>
      </c>
      <c r="H495" s="6">
        <v>39.99</v>
      </c>
      <c r="I495" s="6">
        <f t="shared" si="70"/>
        <v>479.88</v>
      </c>
      <c r="J495" s="7">
        <v>0</v>
      </c>
      <c r="K495" s="6">
        <f t="shared" si="71"/>
        <v>479.88</v>
      </c>
      <c r="L495" s="5" t="s">
        <v>18</v>
      </c>
      <c r="M495" s="31">
        <f t="shared" si="72"/>
        <v>479.88</v>
      </c>
      <c r="N495" s="33">
        <f t="shared" si="73"/>
        <v>439.89</v>
      </c>
      <c r="O495" s="31" t="str">
        <f t="shared" si="74"/>
        <v>June</v>
      </c>
      <c r="P495" s="33">
        <f t="shared" si="75"/>
        <v>-439.89</v>
      </c>
      <c r="Q495" s="33">
        <f t="shared" si="76"/>
        <v>0.91666666666666663</v>
      </c>
      <c r="R495" s="33">
        <f t="shared" si="77"/>
        <v>39.99</v>
      </c>
      <c r="S495" s="33" t="str">
        <f t="shared" si="78"/>
        <v>Large</v>
      </c>
      <c r="T495" s="33" t="str">
        <f t="shared" si="79"/>
        <v>Low</v>
      </c>
    </row>
    <row r="496" spans="1:20" x14ac:dyDescent="0.3">
      <c r="A496" s="2" t="s">
        <v>864</v>
      </c>
      <c r="B496" s="2" t="s">
        <v>865</v>
      </c>
      <c r="C496" s="2" t="s">
        <v>28</v>
      </c>
      <c r="D496" s="2" t="s">
        <v>22</v>
      </c>
      <c r="E496" s="2" t="s">
        <v>43</v>
      </c>
      <c r="F496" s="2" t="s">
        <v>24</v>
      </c>
      <c r="G496" s="2">
        <v>21</v>
      </c>
      <c r="H496" s="3">
        <v>399</v>
      </c>
      <c r="I496" s="3">
        <f t="shared" si="70"/>
        <v>8379</v>
      </c>
      <c r="J496" s="4">
        <v>10</v>
      </c>
      <c r="K496" s="3">
        <f t="shared" si="71"/>
        <v>7541.1</v>
      </c>
      <c r="L496" s="2" t="s">
        <v>18</v>
      </c>
      <c r="M496" s="31">
        <f t="shared" si="72"/>
        <v>8379</v>
      </c>
      <c r="N496" s="33">
        <f t="shared" si="73"/>
        <v>7980</v>
      </c>
      <c r="O496" s="31" t="str">
        <f t="shared" si="74"/>
        <v>June</v>
      </c>
      <c r="P496" s="33">
        <f t="shared" si="75"/>
        <v>-7142.1</v>
      </c>
      <c r="Q496" s="33">
        <f t="shared" si="76"/>
        <v>1.0582010582010581</v>
      </c>
      <c r="R496" s="33">
        <f t="shared" si="77"/>
        <v>359.1</v>
      </c>
      <c r="S496" s="33" t="str">
        <f t="shared" si="78"/>
        <v>Large</v>
      </c>
      <c r="T496" s="33" t="str">
        <f t="shared" si="79"/>
        <v>Low</v>
      </c>
    </row>
    <row r="497" spans="1:20" x14ac:dyDescent="0.3">
      <c r="A497" s="5" t="s">
        <v>866</v>
      </c>
      <c r="B497" s="5" t="s">
        <v>867</v>
      </c>
      <c r="C497" s="5" t="s">
        <v>14</v>
      </c>
      <c r="D497" s="5" t="s">
        <v>15</v>
      </c>
      <c r="E497" s="5" t="s">
        <v>66</v>
      </c>
      <c r="F497" s="5" t="s">
        <v>17</v>
      </c>
      <c r="G497" s="5">
        <v>15</v>
      </c>
      <c r="H497" s="6">
        <v>549</v>
      </c>
      <c r="I497" s="6">
        <f t="shared" si="70"/>
        <v>8235</v>
      </c>
      <c r="J497" s="7">
        <v>15</v>
      </c>
      <c r="K497" s="6">
        <f t="shared" si="71"/>
        <v>6999.75</v>
      </c>
      <c r="L497" s="5" t="s">
        <v>18</v>
      </c>
      <c r="M497" s="31">
        <f t="shared" si="72"/>
        <v>8235</v>
      </c>
      <c r="N497" s="33">
        <f t="shared" si="73"/>
        <v>7686</v>
      </c>
      <c r="O497" s="31" t="str">
        <f t="shared" si="74"/>
        <v>June</v>
      </c>
      <c r="P497" s="33">
        <f t="shared" si="75"/>
        <v>-6450.75</v>
      </c>
      <c r="Q497" s="33">
        <f t="shared" si="76"/>
        <v>1.0980392156862746</v>
      </c>
      <c r="R497" s="33">
        <f t="shared" si="77"/>
        <v>466.65</v>
      </c>
      <c r="S497" s="33" t="str">
        <f t="shared" si="78"/>
        <v>Large</v>
      </c>
      <c r="T497" s="33" t="str">
        <f t="shared" si="79"/>
        <v>High</v>
      </c>
    </row>
    <row r="498" spans="1:20" x14ac:dyDescent="0.3">
      <c r="A498" s="2" t="s">
        <v>868</v>
      </c>
      <c r="B498" s="2" t="s">
        <v>869</v>
      </c>
      <c r="C498" s="2" t="s">
        <v>52</v>
      </c>
      <c r="D498" s="2" t="s">
        <v>33</v>
      </c>
      <c r="E498" s="2" t="s">
        <v>74</v>
      </c>
      <c r="F498" s="2" t="s">
        <v>30</v>
      </c>
      <c r="G498" s="2">
        <v>9</v>
      </c>
      <c r="H498" s="3">
        <v>49.99</v>
      </c>
      <c r="I498" s="3">
        <f t="shared" si="70"/>
        <v>449.91</v>
      </c>
      <c r="J498" s="4">
        <v>8</v>
      </c>
      <c r="K498" s="3">
        <f t="shared" si="71"/>
        <v>413.91720000000004</v>
      </c>
      <c r="L498" s="2" t="s">
        <v>18</v>
      </c>
      <c r="M498" s="31">
        <f t="shared" si="72"/>
        <v>449.91</v>
      </c>
      <c r="N498" s="33">
        <f t="shared" si="73"/>
        <v>399.92</v>
      </c>
      <c r="O498" s="31" t="str">
        <f t="shared" si="74"/>
        <v>June</v>
      </c>
      <c r="P498" s="33">
        <f t="shared" si="75"/>
        <v>-363.92720000000003</v>
      </c>
      <c r="Q498" s="33">
        <f t="shared" si="76"/>
        <v>0.96618357487922701</v>
      </c>
      <c r="R498" s="33">
        <f t="shared" si="77"/>
        <v>45.990800000000007</v>
      </c>
      <c r="S498" s="33" t="str">
        <f t="shared" si="78"/>
        <v>Small</v>
      </c>
      <c r="T498" s="33" t="str">
        <f t="shared" si="79"/>
        <v>High</v>
      </c>
    </row>
    <row r="499" spans="1:20" x14ac:dyDescent="0.3">
      <c r="A499" s="8" t="s">
        <v>870</v>
      </c>
      <c r="B499" s="8" t="s">
        <v>871</v>
      </c>
      <c r="C499" s="8" t="s">
        <v>14</v>
      </c>
      <c r="D499" s="8" t="s">
        <v>15</v>
      </c>
      <c r="E499" s="8" t="s">
        <v>77</v>
      </c>
      <c r="F499" s="8" t="s">
        <v>61</v>
      </c>
      <c r="G499" s="8">
        <v>3</v>
      </c>
      <c r="H499" s="9">
        <v>149</v>
      </c>
      <c r="I499" s="9">
        <f t="shared" si="70"/>
        <v>447</v>
      </c>
      <c r="J499" s="10">
        <v>5</v>
      </c>
      <c r="K499" s="9">
        <f t="shared" si="71"/>
        <v>424.65</v>
      </c>
      <c r="L499" s="8" t="s">
        <v>72</v>
      </c>
      <c r="M499" s="31">
        <f t="shared" si="72"/>
        <v>447</v>
      </c>
      <c r="N499" s="33">
        <f t="shared" si="73"/>
        <v>298</v>
      </c>
      <c r="O499" s="31" t="str">
        <f t="shared" si="74"/>
        <v>June</v>
      </c>
      <c r="P499" s="33">
        <f t="shared" si="75"/>
        <v>-275.64999999999998</v>
      </c>
      <c r="Q499" s="33">
        <f t="shared" si="76"/>
        <v>0.70175438596491235</v>
      </c>
      <c r="R499" s="33">
        <f t="shared" si="77"/>
        <v>141.54999999999998</v>
      </c>
      <c r="S499" s="33" t="str">
        <f t="shared" si="78"/>
        <v>Small</v>
      </c>
      <c r="T499" s="33" t="str">
        <f t="shared" si="79"/>
        <v>Low</v>
      </c>
    </row>
    <row r="500" spans="1:20" x14ac:dyDescent="0.3">
      <c r="A500" s="2" t="s">
        <v>872</v>
      </c>
      <c r="B500" s="2" t="s">
        <v>871</v>
      </c>
      <c r="C500" s="2" t="s">
        <v>41</v>
      </c>
      <c r="D500" s="2" t="s">
        <v>15</v>
      </c>
      <c r="E500" s="2" t="s">
        <v>141</v>
      </c>
      <c r="F500" s="2" t="s">
        <v>17</v>
      </c>
      <c r="G500" s="2">
        <v>18</v>
      </c>
      <c r="H500" s="3">
        <v>169</v>
      </c>
      <c r="I500" s="3">
        <f t="shared" si="70"/>
        <v>3042</v>
      </c>
      <c r="J500" s="4">
        <v>0</v>
      </c>
      <c r="K500" s="3">
        <f t="shared" si="71"/>
        <v>3042</v>
      </c>
      <c r="L500" s="2" t="s">
        <v>18</v>
      </c>
      <c r="M500" s="31">
        <f t="shared" si="72"/>
        <v>3042</v>
      </c>
      <c r="N500" s="33">
        <f t="shared" si="73"/>
        <v>2873</v>
      </c>
      <c r="O500" s="31" t="str">
        <f t="shared" si="74"/>
        <v>June</v>
      </c>
      <c r="P500" s="33">
        <f t="shared" si="75"/>
        <v>-2873</v>
      </c>
      <c r="Q500" s="33">
        <f t="shared" si="76"/>
        <v>0.94444444444444442</v>
      </c>
      <c r="R500" s="33">
        <f t="shared" si="77"/>
        <v>169</v>
      </c>
      <c r="S500" s="33" t="str">
        <f t="shared" si="78"/>
        <v>Large</v>
      </c>
      <c r="T500" s="33" t="str">
        <f t="shared" si="79"/>
        <v>Low</v>
      </c>
    </row>
    <row r="501" spans="1:20" x14ac:dyDescent="0.3">
      <c r="A501" s="5" t="s">
        <v>873</v>
      </c>
      <c r="B501" s="5" t="s">
        <v>871</v>
      </c>
      <c r="C501" s="5" t="s">
        <v>80</v>
      </c>
      <c r="D501" s="5" t="s">
        <v>22</v>
      </c>
      <c r="E501" s="5" t="s">
        <v>46</v>
      </c>
      <c r="F501" s="5" t="s">
        <v>30</v>
      </c>
      <c r="G501" s="5">
        <v>30</v>
      </c>
      <c r="H501" s="6">
        <v>59.99</v>
      </c>
      <c r="I501" s="6">
        <f t="shared" si="70"/>
        <v>1799.7</v>
      </c>
      <c r="J501" s="7">
        <v>5</v>
      </c>
      <c r="K501" s="6">
        <f t="shared" si="71"/>
        <v>1709.7149999999999</v>
      </c>
      <c r="L501" s="5" t="s">
        <v>18</v>
      </c>
      <c r="M501" s="31">
        <f t="shared" si="72"/>
        <v>1799.7</v>
      </c>
      <c r="N501" s="33">
        <f t="shared" si="73"/>
        <v>1739.71</v>
      </c>
      <c r="O501" s="31" t="str">
        <f t="shared" si="74"/>
        <v>June</v>
      </c>
      <c r="P501" s="33">
        <f t="shared" si="75"/>
        <v>-1649.7249999999999</v>
      </c>
      <c r="Q501" s="33">
        <f t="shared" si="76"/>
        <v>1.0175438596491229</v>
      </c>
      <c r="R501" s="33">
        <f t="shared" si="77"/>
        <v>56.990499999999997</v>
      </c>
      <c r="S501" s="33" t="str">
        <f t="shared" si="78"/>
        <v>Large</v>
      </c>
      <c r="T501" s="33" t="str">
        <f t="shared" si="79"/>
        <v>High</v>
      </c>
    </row>
    <row r="502" spans="1:20" x14ac:dyDescent="0.3">
      <c r="A502" s="20"/>
      <c r="B502" s="20"/>
      <c r="C502" s="20"/>
      <c r="D502" s="20"/>
      <c r="E502" s="20"/>
      <c r="F502" s="20" t="s">
        <v>874</v>
      </c>
      <c r="G502" s="21">
        <f>SUM(G2:G501)</f>
        <v>7637</v>
      </c>
      <c r="H502" s="20"/>
      <c r="I502" s="22">
        <f>SUM(I2:I501)</f>
        <v>1886331.149999999</v>
      </c>
      <c r="J502" s="20"/>
      <c r="K502" s="22">
        <f>SUM(K2:K501)</f>
        <v>1764806.5923000006</v>
      </c>
      <c r="L502" s="20"/>
      <c r="M502" s="32"/>
      <c r="N502" s="32"/>
      <c r="O502" s="32"/>
      <c r="P502" s="32"/>
      <c r="Q502" s="32"/>
      <c r="R502" s="32"/>
      <c r="S502" s="32"/>
      <c r="T502" s="3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>
      <selection activeCell="D10" sqref="D10"/>
    </sheetView>
  </sheetViews>
  <sheetFormatPr defaultColWidth="8.6640625" defaultRowHeight="14.4" x14ac:dyDescent="0.3"/>
  <cols>
    <col min="1" max="1" width="18" customWidth="1"/>
    <col min="2" max="2" width="10" customWidth="1"/>
    <col min="3" max="3" width="8" customWidth="1"/>
    <col min="4" max="5" width="20" customWidth="1"/>
    <col min="6" max="6" width="22" customWidth="1"/>
  </cols>
  <sheetData>
    <row r="1" spans="1:6" ht="24.75" customHeight="1" x14ac:dyDescent="0.3">
      <c r="A1" s="23" t="s">
        <v>2</v>
      </c>
      <c r="B1" s="23" t="s">
        <v>3</v>
      </c>
      <c r="C1" s="23" t="s">
        <v>875</v>
      </c>
      <c r="D1" s="23" t="s">
        <v>876</v>
      </c>
      <c r="E1" s="23" t="s">
        <v>10</v>
      </c>
      <c r="F1" s="23" t="s">
        <v>877</v>
      </c>
    </row>
    <row r="2" spans="1:6" x14ac:dyDescent="0.3">
      <c r="A2" s="24" t="s">
        <v>80</v>
      </c>
      <c r="B2" s="24" t="s">
        <v>22</v>
      </c>
      <c r="C2" s="24">
        <f>COUNTIF('Sales Transactions'!C:C,A2)</f>
        <v>40</v>
      </c>
      <c r="D2" s="25">
        <f>SUMIF('Sales Transactions'!C:C,A2,'Sales Transactions'!I:I)</f>
        <v>116662.99</v>
      </c>
      <c r="E2" s="25">
        <f>SUMIF('Sales Transactions'!C:C,A2,'Sales Transactions'!K:K)</f>
        <v>108899.51679999998</v>
      </c>
      <c r="F2" s="25">
        <f t="shared" ref="F2:F11" si="0">IFERROR(D2/C2,0)</f>
        <v>2916.5747500000002</v>
      </c>
    </row>
    <row r="3" spans="1:6" x14ac:dyDescent="0.3">
      <c r="A3" s="26" t="s">
        <v>55</v>
      </c>
      <c r="B3" s="26" t="s">
        <v>38</v>
      </c>
      <c r="C3" s="26">
        <f>COUNTIF('Sales Transactions'!C:C,A3)</f>
        <v>44</v>
      </c>
      <c r="D3" s="27">
        <f>SUMIF('Sales Transactions'!C:C,A3,'Sales Transactions'!I:I)</f>
        <v>209940.38000000003</v>
      </c>
      <c r="E3" s="27">
        <f>SUMIF('Sales Transactions'!C:C,A3,'Sales Transactions'!K:K)</f>
        <v>196296.11130000005</v>
      </c>
      <c r="F3" s="27">
        <f t="shared" si="0"/>
        <v>4771.3722727272734</v>
      </c>
    </row>
    <row r="4" spans="1:6" x14ac:dyDescent="0.3">
      <c r="A4" s="24" t="s">
        <v>14</v>
      </c>
      <c r="B4" s="24" t="s">
        <v>15</v>
      </c>
      <c r="C4" s="24">
        <f>COUNTIF('Sales Transactions'!C:C,A4)</f>
        <v>46</v>
      </c>
      <c r="D4" s="25">
        <f>SUMIF('Sales Transactions'!C:C,A4,'Sales Transactions'!I:I)</f>
        <v>175764.58000000002</v>
      </c>
      <c r="E4" s="25">
        <f>SUMIF('Sales Transactions'!C:C,A4,'Sales Transactions'!K:K)</f>
        <v>166358.87459999998</v>
      </c>
      <c r="F4" s="25">
        <f t="shared" si="0"/>
        <v>3820.969130434783</v>
      </c>
    </row>
    <row r="5" spans="1:6" x14ac:dyDescent="0.3">
      <c r="A5" s="26" t="s">
        <v>32</v>
      </c>
      <c r="B5" s="26" t="s">
        <v>33</v>
      </c>
      <c r="C5" s="26">
        <f>COUNTIF('Sales Transactions'!C:C,A5)</f>
        <v>49</v>
      </c>
      <c r="D5" s="27">
        <f>SUMIF('Sales Transactions'!C:C,A5,'Sales Transactions'!I:I)</f>
        <v>133266.85000000003</v>
      </c>
      <c r="E5" s="27">
        <f>SUMIF('Sales Transactions'!C:C,A5,'Sales Transactions'!K:K)</f>
        <v>126716.2965</v>
      </c>
      <c r="F5" s="27">
        <f t="shared" si="0"/>
        <v>2719.7316326530618</v>
      </c>
    </row>
    <row r="6" spans="1:6" x14ac:dyDescent="0.3">
      <c r="A6" s="24" t="s">
        <v>37</v>
      </c>
      <c r="B6" s="24" t="s">
        <v>38</v>
      </c>
      <c r="C6" s="24">
        <f>COUNTIF('Sales Transactions'!C:C,A6)</f>
        <v>51</v>
      </c>
      <c r="D6" s="25">
        <f>SUMIF('Sales Transactions'!C:C,A6,'Sales Transactions'!I:I)</f>
        <v>145432.34</v>
      </c>
      <c r="E6" s="25">
        <f>SUMIF('Sales Transactions'!C:C,A6,'Sales Transactions'!K:K)</f>
        <v>137243.16319999998</v>
      </c>
      <c r="F6" s="25">
        <f t="shared" si="0"/>
        <v>2851.6145098039215</v>
      </c>
    </row>
    <row r="7" spans="1:6" x14ac:dyDescent="0.3">
      <c r="A7" s="26" t="s">
        <v>52</v>
      </c>
      <c r="B7" s="26" t="s">
        <v>33</v>
      </c>
      <c r="C7" s="26">
        <f>COUNTIF('Sales Transactions'!C:C,A7)</f>
        <v>57</v>
      </c>
      <c r="D7" s="27">
        <f>SUMIF('Sales Transactions'!C:C,A7,'Sales Transactions'!I:I)</f>
        <v>226253.53000000006</v>
      </c>
      <c r="E7" s="27">
        <f>SUMIF('Sales Transactions'!C:C,A7,'Sales Transactions'!K:K)</f>
        <v>211272.06299999997</v>
      </c>
      <c r="F7" s="27">
        <f t="shared" si="0"/>
        <v>3969.3601754385977</v>
      </c>
    </row>
    <row r="8" spans="1:6" x14ac:dyDescent="0.3">
      <c r="A8" s="24" t="s">
        <v>21</v>
      </c>
      <c r="B8" s="24" t="s">
        <v>22</v>
      </c>
      <c r="C8" s="24">
        <f>COUNTIF('Sales Transactions'!C:C,A8)</f>
        <v>55</v>
      </c>
      <c r="D8" s="25">
        <f>SUMIF('Sales Transactions'!C:C,A8,'Sales Transactions'!I:I)</f>
        <v>195846.64</v>
      </c>
      <c r="E8" s="25">
        <f>SUMIF('Sales Transactions'!C:C,A8,'Sales Transactions'!K:K)</f>
        <v>181769.8308</v>
      </c>
      <c r="F8" s="25">
        <f t="shared" si="0"/>
        <v>3560.8480000000004</v>
      </c>
    </row>
    <row r="9" spans="1:6" x14ac:dyDescent="0.3">
      <c r="A9" s="26" t="s">
        <v>41</v>
      </c>
      <c r="B9" s="26" t="s">
        <v>15</v>
      </c>
      <c r="C9" s="26">
        <f>COUNTIF('Sales Transactions'!C:C,A9)</f>
        <v>53</v>
      </c>
      <c r="D9" s="27">
        <f>SUMIF('Sales Transactions'!C:C,A9,'Sales Transactions'!I:I)</f>
        <v>241831.26000000004</v>
      </c>
      <c r="E9" s="27">
        <f>SUMIF('Sales Transactions'!C:C,A9,'Sales Transactions'!K:K)</f>
        <v>225304.93039999995</v>
      </c>
      <c r="F9" s="27">
        <f t="shared" si="0"/>
        <v>4562.853962264152</v>
      </c>
    </row>
    <row r="10" spans="1:6" x14ac:dyDescent="0.3">
      <c r="A10" s="24" t="s">
        <v>28</v>
      </c>
      <c r="B10" s="24" t="s">
        <v>22</v>
      </c>
      <c r="C10" s="24">
        <f>COUNTIF('Sales Transactions'!C:C,A10)</f>
        <v>61</v>
      </c>
      <c r="D10" s="25">
        <f>SUMIF('Sales Transactions'!C:C,A10,'Sales Transactions'!I:I)</f>
        <v>310735.69999999995</v>
      </c>
      <c r="E10" s="25">
        <f>SUMIF('Sales Transactions'!C:C,A10,'Sales Transactions'!K:K)</f>
        <v>286529.73869999993</v>
      </c>
      <c r="F10" s="25">
        <f t="shared" si="0"/>
        <v>5094.0278688524586</v>
      </c>
    </row>
    <row r="11" spans="1:6" x14ac:dyDescent="0.3">
      <c r="A11" s="26" t="s">
        <v>49</v>
      </c>
      <c r="B11" s="26" t="s">
        <v>38</v>
      </c>
      <c r="C11" s="26">
        <f>COUNTIF('Sales Transactions'!C:C,A11)</f>
        <v>44</v>
      </c>
      <c r="D11" s="27">
        <f>SUMIF('Sales Transactions'!C:C,A11,'Sales Transactions'!I:I)</f>
        <v>130596.87999999999</v>
      </c>
      <c r="E11" s="27">
        <f>SUMIF('Sales Transactions'!C:C,A11,'Sales Transactions'!K:K)</f>
        <v>124416.06700000002</v>
      </c>
      <c r="F11" s="27">
        <f t="shared" si="0"/>
        <v>2968.110909090909</v>
      </c>
    </row>
    <row r="12" spans="1:6" x14ac:dyDescent="0.3">
      <c r="A12" s="20" t="s">
        <v>878</v>
      </c>
      <c r="B12" s="20"/>
      <c r="C12" s="21">
        <f>SUM(C2:C11)</f>
        <v>500</v>
      </c>
      <c r="D12" s="22">
        <f>SUM(D2:D11)</f>
        <v>1886331.15</v>
      </c>
      <c r="E12" s="22">
        <f>SUM(E2:E11)</f>
        <v>1764806.5922999997</v>
      </c>
      <c r="F12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0" customWidth="1"/>
    <col min="3" max="4" width="20" customWidth="1"/>
    <col min="5" max="5" width="18" customWidth="1"/>
  </cols>
  <sheetData>
    <row r="1" spans="1:5" ht="24.75" customHeight="1" x14ac:dyDescent="0.3">
      <c r="A1" s="23" t="s">
        <v>5</v>
      </c>
      <c r="B1" s="23" t="s">
        <v>875</v>
      </c>
      <c r="C1" s="23" t="s">
        <v>876</v>
      </c>
      <c r="D1" s="23" t="s">
        <v>10</v>
      </c>
      <c r="E1" s="23" t="s">
        <v>879</v>
      </c>
    </row>
    <row r="2" spans="1:5" x14ac:dyDescent="0.3">
      <c r="A2" s="24" t="s">
        <v>24</v>
      </c>
      <c r="B2" s="24">
        <f>COUNTIF('Sales Transactions'!F:F,A2)</f>
        <v>148</v>
      </c>
      <c r="C2" s="25">
        <f>SUMIF('Sales Transactions'!F:F,A2,'Sales Transactions'!I:I)</f>
        <v>1107260.4699999997</v>
      </c>
      <c r="D2" s="25">
        <f>SUMIF('Sales Transactions'!F:F,A2,'Sales Transactions'!K:K)</f>
        <v>1035695.3522000002</v>
      </c>
      <c r="E2" s="28">
        <f>IFERROR(D2/SUM(D2:D5),0)</f>
        <v>0.58686054138670274</v>
      </c>
    </row>
    <row r="3" spans="1:5" x14ac:dyDescent="0.3">
      <c r="A3" s="26" t="s">
        <v>30</v>
      </c>
      <c r="B3" s="26">
        <f>COUNTIF('Sales Transactions'!F:F,A3)</f>
        <v>139</v>
      </c>
      <c r="C3" s="27">
        <f>SUMIF('Sales Transactions'!F:F,A3,'Sales Transactions'!I:I)</f>
        <v>124147.59000000007</v>
      </c>
      <c r="D3" s="27">
        <f>SUMIF('Sales Transactions'!F:F,A3,'Sales Transactions'!K:K)</f>
        <v>116616.81619999993</v>
      </c>
      <c r="E3" s="29">
        <f>IFERROR(D3/SUM(D2:D5),0)</f>
        <v>6.607909144764583E-2</v>
      </c>
    </row>
    <row r="4" spans="1:5" x14ac:dyDescent="0.3">
      <c r="A4" s="24" t="s">
        <v>17</v>
      </c>
      <c r="B4" s="24">
        <f>COUNTIF('Sales Transactions'!F:F,A4)</f>
        <v>116</v>
      </c>
      <c r="C4" s="25">
        <f>SUMIF('Sales Transactions'!F:F,A4,'Sales Transactions'!I:I)</f>
        <v>453521.81000000006</v>
      </c>
      <c r="D4" s="25">
        <f>SUMIF('Sales Transactions'!F:F,A4,'Sales Transactions'!K:K)</f>
        <v>423925.01990000013</v>
      </c>
      <c r="E4" s="28">
        <f>IFERROR(D4/SUM(D2:D5),0)</f>
        <v>0.24021046937926266</v>
      </c>
    </row>
    <row r="5" spans="1:5" x14ac:dyDescent="0.3">
      <c r="A5" s="26" t="s">
        <v>61</v>
      </c>
      <c r="B5" s="26">
        <f>COUNTIF('Sales Transactions'!F:F,A5)</f>
        <v>97</v>
      </c>
      <c r="C5" s="27">
        <f>SUMIF('Sales Transactions'!F:F,A5,'Sales Transactions'!I:I)</f>
        <v>201401.27999999997</v>
      </c>
      <c r="D5" s="27">
        <f>SUMIF('Sales Transactions'!F:F,A5,'Sales Transactions'!K:K)</f>
        <v>188569.40400000001</v>
      </c>
      <c r="E5" s="29">
        <f>IFERROR(D5/SUM(D2:D5),0)</f>
        <v>0.1068498977863887</v>
      </c>
    </row>
    <row r="6" spans="1:5" x14ac:dyDescent="0.3">
      <c r="A6" s="20" t="s">
        <v>878</v>
      </c>
      <c r="B6" s="21">
        <f>SUM(B2:B5)</f>
        <v>500</v>
      </c>
      <c r="C6" s="22">
        <f>SUM(C2:C5)</f>
        <v>1886331.15</v>
      </c>
      <c r="D6" s="22">
        <f>SUM(D2:D5)</f>
        <v>1764806.5923000004</v>
      </c>
      <c r="E6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4" width="20" customWidth="1"/>
    <col min="5" max="5" width="16" customWidth="1"/>
  </cols>
  <sheetData>
    <row r="1" spans="1:5" ht="24.75" customHeight="1" x14ac:dyDescent="0.3">
      <c r="A1" s="23" t="s">
        <v>880</v>
      </c>
      <c r="B1" s="23" t="s">
        <v>875</v>
      </c>
      <c r="C1" s="23" t="s">
        <v>876</v>
      </c>
      <c r="D1" s="23" t="s">
        <v>10</v>
      </c>
      <c r="E1" s="23" t="s">
        <v>881</v>
      </c>
    </row>
    <row r="2" spans="1:5" x14ac:dyDescent="0.3">
      <c r="A2" s="24" t="s">
        <v>882</v>
      </c>
      <c r="B2" s="24">
        <f>COUNTIFS('Sales Transactions'!B:B,"&gt;="&amp;DATE(2025,1,1),'Sales Transactions'!B:B,"&lt;"&amp;DATE(2025,2,1))</f>
        <v>0</v>
      </c>
      <c r="C2" s="25">
        <f>SUMIFS('Sales Transactions'!I:I,'Sales Transactions'!B:B,"&gt;="&amp;DATE(2025,1,1),'Sales Transactions'!B:B,"&lt;"&amp;DATE(2025,2,1))</f>
        <v>0</v>
      </c>
      <c r="D2" s="25">
        <f>SUMIFS('Sales Transactions'!K:K,'Sales Transactions'!B:B,"&gt;="&amp;DATE(2025,1,1),'Sales Transactions'!B:B,"&lt;"&amp;DATE(2025,2,1))</f>
        <v>0</v>
      </c>
      <c r="E2" s="24" t="s">
        <v>883</v>
      </c>
    </row>
    <row r="3" spans="1:5" x14ac:dyDescent="0.3">
      <c r="A3" s="26" t="s">
        <v>884</v>
      </c>
      <c r="B3" s="26">
        <f>COUNTIFS('Sales Transactions'!B:B,"&gt;="&amp;DATE(2025,2,1),'Sales Transactions'!B:B,"&lt;"&amp;DATE(2025,3,1))</f>
        <v>0</v>
      </c>
      <c r="C3" s="27">
        <f>SUMIFS('Sales Transactions'!I:I,'Sales Transactions'!B:B,"&gt;="&amp;DATE(2025,2,1),'Sales Transactions'!B:B,"&lt;"&amp;DATE(2025,3,1))</f>
        <v>0</v>
      </c>
      <c r="D3" s="27">
        <f>SUMIFS('Sales Transactions'!K:K,'Sales Transactions'!B:B,"&gt;="&amp;DATE(2025,2,1),'Sales Transactions'!B:B,"&lt;"&amp;DATE(2025,3,1))</f>
        <v>0</v>
      </c>
      <c r="E3" s="29">
        <f t="shared" ref="E3:E19" si="0">IFERROR((C3-C2)/C2,0)</f>
        <v>0</v>
      </c>
    </row>
    <row r="4" spans="1:5" x14ac:dyDescent="0.3">
      <c r="A4" s="24" t="s">
        <v>885</v>
      </c>
      <c r="B4" s="24">
        <f>COUNTIFS('Sales Transactions'!B:B,"&gt;="&amp;DATE(2025,3,1),'Sales Transactions'!B:B,"&lt;"&amp;DATE(2025,4,1))</f>
        <v>0</v>
      </c>
      <c r="C4" s="25">
        <f>SUMIFS('Sales Transactions'!I:I,'Sales Transactions'!B:B,"&gt;="&amp;DATE(2025,3,1),'Sales Transactions'!B:B,"&lt;"&amp;DATE(2025,4,1))</f>
        <v>0</v>
      </c>
      <c r="D4" s="25">
        <f>SUMIFS('Sales Transactions'!K:K,'Sales Transactions'!B:B,"&gt;="&amp;DATE(2025,3,1),'Sales Transactions'!B:B,"&lt;"&amp;DATE(2025,4,1))</f>
        <v>0</v>
      </c>
      <c r="E4" s="28">
        <f t="shared" si="0"/>
        <v>0</v>
      </c>
    </row>
    <row r="5" spans="1:5" x14ac:dyDescent="0.3">
      <c r="A5" s="26" t="s">
        <v>886</v>
      </c>
      <c r="B5" s="26">
        <f>COUNTIFS('Sales Transactions'!B:B,"&gt;="&amp;DATE(2025,4,1),'Sales Transactions'!B:B,"&lt;"&amp;DATE(2025,5,1))</f>
        <v>0</v>
      </c>
      <c r="C5" s="27">
        <f>SUMIFS('Sales Transactions'!I:I,'Sales Transactions'!B:B,"&gt;="&amp;DATE(2025,4,1),'Sales Transactions'!B:B,"&lt;"&amp;DATE(2025,5,1))</f>
        <v>0</v>
      </c>
      <c r="D5" s="27">
        <f>SUMIFS('Sales Transactions'!K:K,'Sales Transactions'!B:B,"&gt;="&amp;DATE(2025,4,1),'Sales Transactions'!B:B,"&lt;"&amp;DATE(2025,5,1))</f>
        <v>0</v>
      </c>
      <c r="E5" s="29">
        <f t="shared" si="0"/>
        <v>0</v>
      </c>
    </row>
    <row r="6" spans="1:5" x14ac:dyDescent="0.3">
      <c r="A6" s="24" t="s">
        <v>887</v>
      </c>
      <c r="B6" s="24">
        <f>COUNTIFS('Sales Transactions'!B:B,"&gt;="&amp;DATE(2025,5,1),'Sales Transactions'!B:B,"&lt;"&amp;DATE(2025,6,1))</f>
        <v>0</v>
      </c>
      <c r="C6" s="25">
        <f>SUMIFS('Sales Transactions'!I:I,'Sales Transactions'!B:B,"&gt;="&amp;DATE(2025,5,1),'Sales Transactions'!B:B,"&lt;"&amp;DATE(2025,6,1))</f>
        <v>0</v>
      </c>
      <c r="D6" s="25">
        <f>SUMIFS('Sales Transactions'!K:K,'Sales Transactions'!B:B,"&gt;="&amp;DATE(2025,5,1),'Sales Transactions'!B:B,"&lt;"&amp;DATE(2025,6,1))</f>
        <v>0</v>
      </c>
      <c r="E6" s="28">
        <f t="shared" si="0"/>
        <v>0</v>
      </c>
    </row>
    <row r="7" spans="1:5" x14ac:dyDescent="0.3">
      <c r="A7" s="26" t="s">
        <v>888</v>
      </c>
      <c r="B7" s="26">
        <f>COUNTIFS('Sales Transactions'!B:B,"&gt;="&amp;DATE(2025,6,1),'Sales Transactions'!B:B,"&lt;"&amp;DATE(2025,7,1))</f>
        <v>0</v>
      </c>
      <c r="C7" s="27">
        <f>SUMIFS('Sales Transactions'!I:I,'Sales Transactions'!B:B,"&gt;="&amp;DATE(2025,6,1),'Sales Transactions'!B:B,"&lt;"&amp;DATE(2025,7,1))</f>
        <v>0</v>
      </c>
      <c r="D7" s="27">
        <f>SUMIFS('Sales Transactions'!K:K,'Sales Transactions'!B:B,"&gt;="&amp;DATE(2025,6,1),'Sales Transactions'!B:B,"&lt;"&amp;DATE(2025,7,1))</f>
        <v>0</v>
      </c>
      <c r="E7" s="29">
        <f t="shared" si="0"/>
        <v>0</v>
      </c>
    </row>
    <row r="8" spans="1:5" x14ac:dyDescent="0.3">
      <c r="A8" s="24" t="s">
        <v>889</v>
      </c>
      <c r="B8" s="24">
        <f>COUNTIFS('Sales Transactions'!B:B,"&gt;="&amp;DATE(2025,7,1),'Sales Transactions'!B:B,"&lt;"&amp;DATE(2025,8,1))</f>
        <v>0</v>
      </c>
      <c r="C8" s="25">
        <f>SUMIFS('Sales Transactions'!I:I,'Sales Transactions'!B:B,"&gt;="&amp;DATE(2025,7,1),'Sales Transactions'!B:B,"&lt;"&amp;DATE(2025,8,1))</f>
        <v>0</v>
      </c>
      <c r="D8" s="25">
        <f>SUMIFS('Sales Transactions'!K:K,'Sales Transactions'!B:B,"&gt;="&amp;DATE(2025,7,1),'Sales Transactions'!B:B,"&lt;"&amp;DATE(2025,8,1))</f>
        <v>0</v>
      </c>
      <c r="E8" s="28">
        <f t="shared" si="0"/>
        <v>0</v>
      </c>
    </row>
    <row r="9" spans="1:5" x14ac:dyDescent="0.3">
      <c r="A9" s="26" t="s">
        <v>890</v>
      </c>
      <c r="B9" s="26">
        <f>COUNTIFS('Sales Transactions'!B:B,"&gt;="&amp;DATE(2025,8,1),'Sales Transactions'!B:B,"&lt;"&amp;DATE(2025,9,1))</f>
        <v>0</v>
      </c>
      <c r="C9" s="27">
        <f>SUMIFS('Sales Transactions'!I:I,'Sales Transactions'!B:B,"&gt;="&amp;DATE(2025,8,1),'Sales Transactions'!B:B,"&lt;"&amp;DATE(2025,9,1))</f>
        <v>0</v>
      </c>
      <c r="D9" s="27">
        <f>SUMIFS('Sales Transactions'!K:K,'Sales Transactions'!B:B,"&gt;="&amp;DATE(2025,8,1),'Sales Transactions'!B:B,"&lt;"&amp;DATE(2025,9,1))</f>
        <v>0</v>
      </c>
      <c r="E9" s="29">
        <f t="shared" si="0"/>
        <v>0</v>
      </c>
    </row>
    <row r="10" spans="1:5" x14ac:dyDescent="0.3">
      <c r="A10" s="24" t="s">
        <v>891</v>
      </c>
      <c r="B10" s="24">
        <f>COUNTIFS('Sales Transactions'!B:B,"&gt;="&amp;DATE(2025,9,1),'Sales Transactions'!B:B,"&lt;"&amp;DATE(2025,10,1))</f>
        <v>0</v>
      </c>
      <c r="C10" s="25">
        <f>SUMIFS('Sales Transactions'!I:I,'Sales Transactions'!B:B,"&gt;="&amp;DATE(2025,9,1),'Sales Transactions'!B:B,"&lt;"&amp;DATE(2025,10,1))</f>
        <v>0</v>
      </c>
      <c r="D10" s="25">
        <f>SUMIFS('Sales Transactions'!K:K,'Sales Transactions'!B:B,"&gt;="&amp;DATE(2025,9,1),'Sales Transactions'!B:B,"&lt;"&amp;DATE(2025,10,1))</f>
        <v>0</v>
      </c>
      <c r="E10" s="28">
        <f t="shared" si="0"/>
        <v>0</v>
      </c>
    </row>
    <row r="11" spans="1:5" x14ac:dyDescent="0.3">
      <c r="A11" s="26" t="s">
        <v>892</v>
      </c>
      <c r="B11" s="26">
        <f>COUNTIFS('Sales Transactions'!B:B,"&gt;="&amp;DATE(2025,10,1),'Sales Transactions'!B:B,"&lt;"&amp;DATE(2025,11,1))</f>
        <v>0</v>
      </c>
      <c r="C11" s="27">
        <f>SUMIFS('Sales Transactions'!I:I,'Sales Transactions'!B:B,"&gt;="&amp;DATE(2025,10,1),'Sales Transactions'!B:B,"&lt;"&amp;DATE(2025,11,1))</f>
        <v>0</v>
      </c>
      <c r="D11" s="27">
        <f>SUMIFS('Sales Transactions'!K:K,'Sales Transactions'!B:B,"&gt;="&amp;DATE(2025,10,1),'Sales Transactions'!B:B,"&lt;"&amp;DATE(2025,11,1))</f>
        <v>0</v>
      </c>
      <c r="E11" s="29">
        <f t="shared" si="0"/>
        <v>0</v>
      </c>
    </row>
    <row r="12" spans="1:5" x14ac:dyDescent="0.3">
      <c r="A12" s="24" t="s">
        <v>893</v>
      </c>
      <c r="B12" s="24">
        <f>COUNTIFS('Sales Transactions'!B:B,"&gt;="&amp;DATE(2025,11,1),'Sales Transactions'!B:B,"&lt;"&amp;DATE(2025,12,1))</f>
        <v>0</v>
      </c>
      <c r="C12" s="25">
        <f>SUMIFS('Sales Transactions'!I:I,'Sales Transactions'!B:B,"&gt;="&amp;DATE(2025,11,1),'Sales Transactions'!B:B,"&lt;"&amp;DATE(2025,12,1))</f>
        <v>0</v>
      </c>
      <c r="D12" s="25">
        <f>SUMIFS('Sales Transactions'!K:K,'Sales Transactions'!B:B,"&gt;="&amp;DATE(2025,11,1),'Sales Transactions'!B:B,"&lt;"&amp;DATE(2025,12,1))</f>
        <v>0</v>
      </c>
      <c r="E12" s="28">
        <f t="shared" si="0"/>
        <v>0</v>
      </c>
    </row>
    <row r="13" spans="1:5" x14ac:dyDescent="0.3">
      <c r="A13" s="26" t="s">
        <v>894</v>
      </c>
      <c r="B13" s="26">
        <f>COUNTIFS('Sales Transactions'!B:B,"&gt;="&amp;DATE(2025,12,1),'Sales Transactions'!B:B,"&lt;"&amp;DATE(2026,1,1))</f>
        <v>0</v>
      </c>
      <c r="C13" s="27">
        <f>SUMIFS('Sales Transactions'!I:I,'Sales Transactions'!B:B,"&gt;="&amp;DATE(2025,12,1),'Sales Transactions'!B:B,"&lt;"&amp;DATE(2026,1,1))</f>
        <v>0</v>
      </c>
      <c r="D13" s="27">
        <f>SUMIFS('Sales Transactions'!K:K,'Sales Transactions'!B:B,"&gt;="&amp;DATE(2025,12,1),'Sales Transactions'!B:B,"&lt;"&amp;DATE(2026,1,1))</f>
        <v>0</v>
      </c>
      <c r="E13" s="29">
        <f t="shared" si="0"/>
        <v>0</v>
      </c>
    </row>
    <row r="14" spans="1:5" x14ac:dyDescent="0.3">
      <c r="A14" s="24" t="s">
        <v>895</v>
      </c>
      <c r="B14" s="24">
        <f>COUNTIFS('Sales Transactions'!B:B,"&gt;="&amp;DATE(2026,1,1),'Sales Transactions'!B:B,"&lt;"&amp;DATE(2026,2,1))</f>
        <v>0</v>
      </c>
      <c r="C14" s="25">
        <f>SUMIFS('Sales Transactions'!I:I,'Sales Transactions'!B:B,"&gt;="&amp;DATE(2026,1,1),'Sales Transactions'!B:B,"&lt;"&amp;DATE(2026,2,1))</f>
        <v>0</v>
      </c>
      <c r="D14" s="25">
        <f>SUMIFS('Sales Transactions'!K:K,'Sales Transactions'!B:B,"&gt;="&amp;DATE(2026,1,1),'Sales Transactions'!B:B,"&lt;"&amp;DATE(2026,2,1))</f>
        <v>0</v>
      </c>
      <c r="E14" s="28">
        <f t="shared" si="0"/>
        <v>0</v>
      </c>
    </row>
    <row r="15" spans="1:5" x14ac:dyDescent="0.3">
      <c r="A15" s="26" t="s">
        <v>896</v>
      </c>
      <c r="B15" s="26">
        <f>COUNTIFS('Sales Transactions'!B:B,"&gt;="&amp;DATE(2026,2,1),'Sales Transactions'!B:B,"&lt;"&amp;DATE(2026,3,1))</f>
        <v>0</v>
      </c>
      <c r="C15" s="27">
        <f>SUMIFS('Sales Transactions'!I:I,'Sales Transactions'!B:B,"&gt;="&amp;DATE(2026,2,1),'Sales Transactions'!B:B,"&lt;"&amp;DATE(2026,3,1))</f>
        <v>0</v>
      </c>
      <c r="D15" s="27">
        <f>SUMIFS('Sales Transactions'!K:K,'Sales Transactions'!B:B,"&gt;="&amp;DATE(2026,2,1),'Sales Transactions'!B:B,"&lt;"&amp;DATE(2026,3,1))</f>
        <v>0</v>
      </c>
      <c r="E15" s="29">
        <f t="shared" si="0"/>
        <v>0</v>
      </c>
    </row>
    <row r="16" spans="1:5" x14ac:dyDescent="0.3">
      <c r="A16" s="24" t="s">
        <v>897</v>
      </c>
      <c r="B16" s="24">
        <f>COUNTIFS('Sales Transactions'!B:B,"&gt;="&amp;DATE(2026,3,1),'Sales Transactions'!B:B,"&lt;"&amp;DATE(2026,4,1))</f>
        <v>0</v>
      </c>
      <c r="C16" s="25">
        <f>SUMIFS('Sales Transactions'!I:I,'Sales Transactions'!B:B,"&gt;="&amp;DATE(2026,3,1),'Sales Transactions'!B:B,"&lt;"&amp;DATE(2026,4,1))</f>
        <v>0</v>
      </c>
      <c r="D16" s="25">
        <f>SUMIFS('Sales Transactions'!K:K,'Sales Transactions'!B:B,"&gt;="&amp;DATE(2026,3,1),'Sales Transactions'!B:B,"&lt;"&amp;DATE(2026,4,1))</f>
        <v>0</v>
      </c>
      <c r="E16" s="28">
        <f t="shared" si="0"/>
        <v>0</v>
      </c>
    </row>
    <row r="17" spans="1:5" x14ac:dyDescent="0.3">
      <c r="A17" s="26" t="s">
        <v>898</v>
      </c>
      <c r="B17" s="26">
        <f>COUNTIFS('Sales Transactions'!B:B,"&gt;="&amp;DATE(2026,4,1),'Sales Transactions'!B:B,"&lt;"&amp;DATE(2026,5,1))</f>
        <v>0</v>
      </c>
      <c r="C17" s="27">
        <f>SUMIFS('Sales Transactions'!I:I,'Sales Transactions'!B:B,"&gt;="&amp;DATE(2026,4,1),'Sales Transactions'!B:B,"&lt;"&amp;DATE(2026,5,1))</f>
        <v>0</v>
      </c>
      <c r="D17" s="27">
        <f>SUMIFS('Sales Transactions'!K:K,'Sales Transactions'!B:B,"&gt;="&amp;DATE(2026,4,1),'Sales Transactions'!B:B,"&lt;"&amp;DATE(2026,5,1))</f>
        <v>0</v>
      </c>
      <c r="E17" s="29">
        <f t="shared" si="0"/>
        <v>0</v>
      </c>
    </row>
    <row r="18" spans="1:5" x14ac:dyDescent="0.3">
      <c r="A18" s="24" t="s">
        <v>899</v>
      </c>
      <c r="B18" s="24">
        <f>COUNTIFS('Sales Transactions'!B:B,"&gt;="&amp;DATE(2026,5,1),'Sales Transactions'!B:B,"&lt;"&amp;DATE(2026,6,1))</f>
        <v>0</v>
      </c>
      <c r="C18" s="25">
        <f>SUMIFS('Sales Transactions'!I:I,'Sales Transactions'!B:B,"&gt;="&amp;DATE(2026,5,1),'Sales Transactions'!B:B,"&lt;"&amp;DATE(2026,6,1))</f>
        <v>0</v>
      </c>
      <c r="D18" s="25">
        <f>SUMIFS('Sales Transactions'!K:K,'Sales Transactions'!B:B,"&gt;="&amp;DATE(2026,5,1),'Sales Transactions'!B:B,"&lt;"&amp;DATE(2026,6,1))</f>
        <v>0</v>
      </c>
      <c r="E18" s="28">
        <f t="shared" si="0"/>
        <v>0</v>
      </c>
    </row>
    <row r="19" spans="1:5" x14ac:dyDescent="0.3">
      <c r="A19" s="26" t="s">
        <v>900</v>
      </c>
      <c r="B19" s="26">
        <f>COUNTIFS('Sales Transactions'!B:B,"&gt;="&amp;DATE(2026,6,1),'Sales Transactions'!B:B,"&lt;"&amp;DATE(2026,7,1))</f>
        <v>0</v>
      </c>
      <c r="C19" s="27">
        <f>SUMIFS('Sales Transactions'!I:I,'Sales Transactions'!B:B,"&gt;="&amp;DATE(2026,6,1),'Sales Transactions'!B:B,"&lt;"&amp;DATE(2026,7,1))</f>
        <v>0</v>
      </c>
      <c r="D19" s="27">
        <f>SUMIFS('Sales Transactions'!K:K,'Sales Transactions'!B:B,"&gt;="&amp;DATE(2026,6,1),'Sales Transactions'!B:B,"&lt;"&amp;DATE(2026,7,1))</f>
        <v>0</v>
      </c>
      <c r="E19" s="29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region sale</vt:lpstr>
      <vt:lpstr>Product Performance</vt:lpstr>
      <vt:lpstr>Sheet10</vt:lpstr>
      <vt:lpstr>Region VS Category</vt:lpstr>
      <vt:lpstr>Discount analysis</vt:lpstr>
      <vt:lpstr>Profit margin analysis </vt:lpstr>
      <vt:lpstr>Sales Rep Performance</vt:lpstr>
      <vt:lpstr>Monthly Sales Trends</vt:lpstr>
      <vt:lpstr>Category Performance</vt:lpstr>
      <vt:lpstr>Sales Transactions</vt:lpstr>
      <vt:lpstr>Summary by Rep</vt:lpstr>
      <vt:lpstr>Summary by Category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nishtha singh</cp:lastModifiedBy>
  <cp:revision>0</cp:revision>
  <dcterms:created xsi:type="dcterms:W3CDTF">2026-06-14T10:14:58Z</dcterms:created>
  <dcterms:modified xsi:type="dcterms:W3CDTF">2026-07-06T08:43:58Z</dcterms:modified>
  <dc:language>en-US</dc:language>
</cp:coreProperties>
</file>